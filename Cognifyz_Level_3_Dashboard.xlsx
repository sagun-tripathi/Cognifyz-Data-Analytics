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3874e94de27e1a/Documents/Downloads/Cognify_Task/"/>
    </mc:Choice>
  </mc:AlternateContent>
  <xr:revisionPtr revIDLastSave="94" documentId="11_6BAAADD3A1887BEEC39F89B51014C9CB3E130541" xr6:coauthVersionLast="47" xr6:coauthVersionMax="47" xr10:uidLastSave="{9B4070CB-F09E-454D-AFC3-DD1D8BB32D82}"/>
  <bookViews>
    <workbookView xWindow="-108" yWindow="-108" windowWidth="23256" windowHeight="13896" activeTab="3" xr2:uid="{00000000-000D-0000-FFFF-FFFF00000000}"/>
  </bookViews>
  <sheets>
    <sheet name="Raw_Data" sheetId="1" r:id="rId1"/>
    <sheet name="Mappings" sheetId="2" r:id="rId2"/>
    <sheet name="Task 5 - Correlation" sheetId="3" r:id="rId3"/>
    <sheet name="Task 6 - Dashboard" sheetId="4" r:id="rId4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4" l="1"/>
  <c r="B19" i="4"/>
  <c r="E18" i="4"/>
  <c r="B18" i="4"/>
  <c r="E17" i="4"/>
  <c r="B17" i="4"/>
  <c r="K13" i="4"/>
  <c r="H13" i="4"/>
  <c r="E13" i="4"/>
  <c r="K12" i="4"/>
  <c r="H12" i="4"/>
  <c r="E12" i="4"/>
  <c r="K11" i="4"/>
  <c r="H11" i="4"/>
  <c r="E11" i="4"/>
  <c r="B11" i="4"/>
  <c r="K10" i="4"/>
  <c r="H10" i="4"/>
  <c r="E10" i="4"/>
  <c r="B10" i="4"/>
</calcChain>
</file>

<file path=xl/sharedStrings.xml><?xml version="1.0" encoding="utf-8"?>
<sst xmlns="http://schemas.openxmlformats.org/spreadsheetml/2006/main" count="844" uniqueCount="103">
  <si>
    <t>Cognifyz Internship – Raw Dataset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</si>
  <si>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</si>
  <si>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</si>
  <si>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</si>
  <si>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</si>
  <si>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</si>
  <si>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</si>
  <si>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</si>
  <si>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</si>
  <si>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</si>
  <si>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</si>
  <si>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</si>
  <si>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</si>
  <si>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</si>
  <si>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</si>
  <si>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</si>
  <si>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</si>
  <si>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</si>
  <si>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</si>
  <si>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</si>
  <si>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</si>
  <si>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</si>
  <si>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</si>
  <si>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</si>
  <si>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</si>
  <si>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</si>
  <si>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</si>
  <si>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</si>
  <si>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</si>
  <si>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</si>
  <si>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</si>
  <si>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</si>
  <si>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</si>
  <si>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</si>
  <si>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</si>
  <si>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</si>
  <si>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</si>
  <si>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</si>
  <si>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</si>
  <si>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</si>
  <si>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</si>
  <si>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</si>
  <si>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</si>
  <si>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</si>
  <si>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</si>
  <si>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</si>
  <si>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</si>
  <si>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</si>
  <si>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</si>
  <si>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</si>
  <si>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</si>
  <si>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</si>
  <si>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</si>
  <si>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</si>
  <si>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</si>
  <si>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</si>
  <si>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</si>
  <si>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</si>
  <si>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</si>
  <si>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</si>
  <si>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</si>
  <si>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</si>
  <si>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</si>
  <si>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</si>
  <si>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</si>
  <si>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</si>
  <si>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</si>
  <si>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</si>
  <si>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</si>
  <si>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Task 5 – Simple Numeric Mapping</t>
  </si>
  <si>
    <t>Expected Return Band</t>
  </si>
  <si>
    <t>Midpoint (%)</t>
  </si>
  <si>
    <t>Duration and expected-return categories are converted to numbers only for correlation charts.</t>
  </si>
  <si>
    <t>Code</t>
  </si>
  <si>
    <t>Why mapping is used</t>
  </si>
  <si>
    <t>The source stores Duration and Expect as categories, not continuous numbers. For Task 5 only, duration is encoded 1–4 and expected-return bands use their percentage midpoints.</t>
  </si>
  <si>
    <t>Level 3 – Task 5: Correlation Analysis</t>
  </si>
  <si>
    <t>Simple visual analysis of age, investment duration and expected return.</t>
  </si>
  <si>
    <t>Expected Return (%)</t>
  </si>
  <si>
    <t>Respondents</t>
  </si>
  <si>
    <t>Age</t>
  </si>
  <si>
    <t>Duration Code</t>
  </si>
  <si>
    <t>Expected Return Midpoint (%)</t>
  </si>
  <si>
    <t>Pearson Correlation Matrix</t>
  </si>
  <si>
    <t>Expected Return Midpoint</t>
  </si>
  <si>
    <t>Bubble chart data (aggregated duration × expectation)</t>
  </si>
  <si>
    <t>Expected Return</t>
  </si>
  <si>
    <t>Expected Midpoint (%)</t>
  </si>
  <si>
    <t>Count</t>
  </si>
  <si>
    <t>Cognifyz Data Visualization Dashboard</t>
  </si>
  <si>
    <t>Filter – Gender</t>
  </si>
  <si>
    <t>All</t>
  </si>
  <si>
    <t>Filter – Duration</t>
  </si>
  <si>
    <t>Total respondents</t>
  </si>
  <si>
    <t>Average age</t>
  </si>
  <si>
    <t>Top investment avenue</t>
  </si>
  <si>
    <t>Top savings objective</t>
  </si>
  <si>
    <t>Top information source</t>
  </si>
  <si>
    <t>Gender</t>
  </si>
  <si>
    <t>Investment Avenue</t>
  </si>
  <si>
    <t>Information Source</t>
  </si>
  <si>
    <t>Savings Objective</t>
  </si>
  <si>
    <t>Interactive filters: change Gender and/or Duration. The dashboard tables and linked charts recalculate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</si>
</sst>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6"/>
      <color rgb="FF17365D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b/>
      <sz val="20"/>
      <color rgb="FFFFFFFF"/>
      <name val="Calibri"/>
    </font>
    <font>
      <b/>
      <sz val="15"/>
      <name val="Calibri"/>
    </font>
    <font>
      <b/>
      <i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4" fillId="4" borderId="0" xfId="0" applyFont="1" applyFill="1"/>
    <xf numFmtId="0" fontId="7" fillId="0" borderId="0" xfId="0" applyFont="1"/>
    <xf numFmtId="0" fontId="0" fillId="0" borderId="0" xfId="0" applyAlignment="1">
      <alignment wrapText="1"/>
    </xf>
    <xf numFmtId="0" fontId="0" fillId="0" borderId="0" xfId="0"/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Age vs Investment Duration</a:t>
            </a:r>
          </a:p>
        </c:rich>
      </c:tx>
      <c:layout>
        <c:manualLayout>
          <c:xMode val="edge"/>
          <c:yMode val="edge"/>
          <c:x val="0.28585500000000003"/>
          <c:y val="1.511904761904761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9972222222222225E-2"/>
          <c:y val="8.5674603174603181E-2"/>
          <c:w val="0.90122222222222226"/>
          <c:h val="0.82865079365079364"/>
        </c:manualLayout>
      </c:layout>
      <c:scatterChart>
        <c:scatterStyle val="lineMarker"/>
        <c:varyColors val="1"/>
        <c:ser>
          <c:idx val="0"/>
          <c:order val="0"/>
          <c:tx>
            <c:v>Respondents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'Task 5 - Correlation'!$A$4:$A$43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'Task 5 - Correlation'!$B$4:$B$43</c:f>
              <c:numCache>
                <c:formatCode>General</c:formatCode>
                <c:ptCount val="4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83-443B-B72F-778F9E86A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Code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Age vs Expected Return</a:t>
            </a:r>
          </a:p>
        </c:rich>
      </c:tx>
      <c:layout>
        <c:manualLayout>
          <c:xMode val="edge"/>
          <c:yMode val="edge"/>
          <c:x val="0.3171288888888889"/>
          <c:y val="2.015873015873015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9388888888888892E-2"/>
          <c:y val="9.5753968253968258E-2"/>
          <c:w val="0.91180555555555554"/>
          <c:h val="0.83873015873015877"/>
        </c:manualLayout>
      </c:layout>
      <c:scatterChart>
        <c:scatterStyle val="lineMarker"/>
        <c:varyColors val="1"/>
        <c:ser>
          <c:idx val="0"/>
          <c:order val="0"/>
          <c:tx>
            <c:v>Respondents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'Task 5 - Correlation'!$A$4:$A$43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'Task 5 - Correlation'!$C$4:$C$43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B2-457E-AD55-DEDB0DD7A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Expected Return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Investment Duration vs Expected Return</a:t>
            </a:r>
          </a:p>
        </c:rich>
      </c:tx>
      <c:layout>
        <c:manualLayout>
          <c:xMode val="edge"/>
          <c:yMode val="edge"/>
          <c:x val="0.1963111111111111"/>
          <c:y val="1.511904761904761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9972222222222225E-2"/>
          <c:y val="8.5674603174603181E-2"/>
          <c:w val="0.90122222222222226"/>
          <c:h val="0.85384920634920614"/>
        </c:manualLayout>
      </c:layout>
      <c:scatterChart>
        <c:scatterStyle val="lineMarker"/>
        <c:varyColors val="1"/>
        <c:ser>
          <c:idx val="0"/>
          <c:order val="0"/>
          <c:tx>
            <c:v>Respondents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'Task 5 - Correlation'!$B$4:$B$43</c:f>
              <c:numCache>
                <c:formatCode>General</c:formatCode>
                <c:ptCount val="4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xVal>
          <c:yVal>
            <c:numRef>
              <c:f>'Task 5 - Correlation'!$C$4:$C$43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0C-42D1-8D21-26DCAA756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Code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Expected Return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Duration and Expected Return</a:t>
            </a:r>
          </a:p>
        </c:rich>
      </c:tx>
      <c:layout>
        <c:manualLayout>
          <c:xMode val="edge"/>
          <c:yMode val="edge"/>
          <c:x val="0.26786333333333334"/>
          <c:y val="1.511904761904761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2916666666666667E-2"/>
          <c:y val="8.0634920634920629E-2"/>
          <c:w val="0.90827777777777774"/>
          <c:h val="0.84880952380952357"/>
        </c:manualLayout>
      </c:layout>
      <c:bubbleChart>
        <c:varyColors val="1"/>
        <c:ser>
          <c:idx val="0"/>
          <c:order val="0"/>
          <c:tx>
            <c:v>Respondents</c:v>
          </c:tx>
          <c:spPr>
            <a:ln>
              <a:prstDash val="solid"/>
            </a:ln>
          </c:spPr>
          <c:invertIfNegative val="1"/>
          <c:xVal>
            <c:numRef>
              <c:f>'Task 5 - Correlation'!$L$3:$L$11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xVal>
          <c:yVal>
            <c:numRef>
              <c:f>'Task 5 - Correlation'!$M$3:$M$11</c:f>
              <c:numCache>
                <c:formatCode>General</c:formatCode>
                <c:ptCount val="9"/>
                <c:pt idx="0">
                  <c:v>15</c:v>
                </c:pt>
                <c:pt idx="1">
                  <c:v>25</c:v>
                </c:pt>
                <c:pt idx="2">
                  <c:v>15</c:v>
                </c:pt>
                <c:pt idx="3">
                  <c:v>25</c:v>
                </c:pt>
                <c:pt idx="4">
                  <c:v>35</c:v>
                </c:pt>
                <c:pt idx="5">
                  <c:v>15</c:v>
                </c:pt>
                <c:pt idx="6">
                  <c:v>25</c:v>
                </c:pt>
                <c:pt idx="7">
                  <c:v>35</c:v>
                </c:pt>
                <c:pt idx="8">
                  <c:v>25</c:v>
                </c:pt>
              </c:numCache>
            </c:numRef>
          </c:yVal>
          <c:bubbleSize>
            <c:numRef>
              <c:f>'Task 5 - Correlation'!$N$3:$N$11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16</c:v>
                </c:pt>
                <c:pt idx="4">
                  <c:v>1</c:v>
                </c:pt>
                <c:pt idx="5">
                  <c:v>1</c:v>
                </c:pt>
                <c:pt idx="6">
                  <c:v>14</c:v>
                </c:pt>
                <c:pt idx="7">
                  <c:v>4</c:v>
                </c:pt>
                <c:pt idx="8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495-41A8-BD62-A732BBEF3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10"/>
        <c:axId val="20"/>
      </c:bubble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Code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Expected Return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Gender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'Task 6 - Dashboard'!$B$9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'Task 6 - Dashboard'!$A$10:$A$11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6 - Dashboard'!$B$10:$B$11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7-49F9-8DE7-475393C9388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Investment Avenue</a:t>
            </a:r>
          </a:p>
        </c:rich>
      </c:tx>
      <c:layout>
        <c:manualLayout>
          <c:xMode val="edge"/>
          <c:yMode val="edge"/>
          <c:x val="0.38181944444444443"/>
          <c:y val="1.763888888888888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7.4965277777777783E-2"/>
          <c:w val="0.68268952991452991"/>
          <c:h val="0.889756944444444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6 - Dashboard'!$E$9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6 - Dashboard'!$D$10:$D$13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'Task 6 - Dashboard'!$E$10:$E$13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A-4706-8B38-1F5FC5630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982628205128206"/>
          <c:y val="0.2964215277777778"/>
          <c:w val="0.28746004273504272"/>
          <c:h val="0.31896249999999998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Information Sources</a:t>
            </a:r>
          </a:p>
        </c:rich>
      </c:tx>
      <c:layout>
        <c:manualLayout>
          <c:xMode val="edge"/>
          <c:yMode val="edge"/>
          <c:x val="0.37741645299145299"/>
          <c:y val="1.322916666666666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2564102564102561E-2"/>
          <c:y val="7.4965277777777783E-2"/>
          <c:w val="0.64445448717948717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'Task 6 - Dashboard'!$H$9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6 - Dashboard'!$G$10:$G$13</c:f>
              <c:strCache>
                <c:ptCount val="4"/>
                <c:pt idx="0">
                  <c:v>Financial Consultants</c:v>
                </c:pt>
                <c:pt idx="1">
                  <c:v>Newspapers and Magazines</c:v>
                </c:pt>
                <c:pt idx="2">
                  <c:v>Television</c:v>
                </c:pt>
                <c:pt idx="3">
                  <c:v>Internet</c:v>
                </c:pt>
              </c:strCache>
            </c:strRef>
          </c:cat>
          <c:val>
            <c:numRef>
              <c:f>'Task 6 - Dashboard'!$H$10:$H$13</c:f>
              <c:numCache>
                <c:formatCode>General</c:formatCode>
                <c:ptCount val="4"/>
                <c:pt idx="0">
                  <c:v>16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B-40B8-8B9B-BE2BEDF78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04374942313525"/>
          <c:y val="0.21190555555555557"/>
          <c:w val="0.27956260683760686"/>
          <c:h val="0.53209166666666663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Investment Duration</a:t>
            </a:r>
          </a:p>
        </c:rich>
      </c:tx>
      <c:layout>
        <c:manualLayout>
          <c:xMode val="edge"/>
          <c:yMode val="edge"/>
          <c:x val="0.37472307692307694"/>
          <c:y val="1.322916666666666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7.0555555555555552E-2"/>
          <c:w val="0.6758384615384615"/>
          <c:h val="0.8809374999999998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6 - Dashboard'!$K$9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6 - Dashboard'!$J$10:$J$13</c:f>
              <c:strCache>
                <c:ptCount val="4"/>
                <c:pt idx="0">
                  <c:v>Less than 1 year</c:v>
                </c:pt>
                <c:pt idx="1">
                  <c:v>1-3 years</c:v>
                </c:pt>
                <c:pt idx="2">
                  <c:v>3-5 years</c:v>
                </c:pt>
                <c:pt idx="3">
                  <c:v>More than 5 years</c:v>
                </c:pt>
              </c:strCache>
            </c:strRef>
          </c:cat>
          <c:val>
            <c:numRef>
              <c:f>'Task 6 - Dashboard'!$K$10:$K$13</c:f>
              <c:numCache>
                <c:formatCode>General</c:formatCode>
                <c:ptCount val="4"/>
                <c:pt idx="0">
                  <c:v>2</c:v>
                </c:pt>
                <c:pt idx="1">
                  <c:v>18</c:v>
                </c:pt>
                <c:pt idx="2">
                  <c:v>19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7-4784-8EDD-8CF60F253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10769230769225"/>
          <c:y val="0.3272895833333333"/>
          <c:w val="0.24817863247863248"/>
          <c:h val="0.31896249999999998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Savings Objective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'Task 6 - Dashboard'!$B$16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'Task 6 - Dashboard'!$A$17:$A$19</c:f>
              <c:strCache>
                <c:ptCount val="3"/>
                <c:pt idx="0">
                  <c:v>Capital Appreciation</c:v>
                </c:pt>
                <c:pt idx="1">
                  <c:v>Income</c:v>
                </c:pt>
                <c:pt idx="2">
                  <c:v>Growth</c:v>
                </c:pt>
              </c:strCache>
            </c:strRef>
          </c:cat>
          <c:val>
            <c:numRef>
              <c:f>'Task 6 - Dashboard'!$B$17:$B$19</c:f>
              <c:numCache>
                <c:formatCode>General</c:formatCode>
                <c:ptCount val="3"/>
                <c:pt idx="0">
                  <c:v>26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3-4E6F-BBA1-AC576BB5D41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layout>
        <c:manualLayout>
          <c:xMode val="edge"/>
          <c:yMode val="edge"/>
          <c:x val="0.74973317219841196"/>
          <c:y val="0.20644484126984131"/>
          <c:w val="0.2502668278015881"/>
          <c:h val="0.3718587703132852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Expected Returns</a:t>
            </a:r>
          </a:p>
        </c:rich>
      </c:tx>
      <c:layout>
        <c:manualLayout>
          <c:xMode val="edge"/>
          <c:yMode val="edge"/>
          <c:x val="0.37596262825101406"/>
          <c:y val="1.329787234042553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995729111599566"/>
          <c:y val="9.3085106382978719E-2"/>
          <c:w val="0.63005050505050508"/>
          <c:h val="0.88475177304964536"/>
        </c:manualLayout>
      </c:layout>
      <c:radarChart>
        <c:radarStyle val="marker"/>
        <c:varyColors val="1"/>
        <c:ser>
          <c:idx val="0"/>
          <c:order val="0"/>
          <c:tx>
            <c:strRef>
              <c:f>'Task 6 - Dashboard'!$E$16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'Task 6 - Dashboard'!$D$17:$D$19</c:f>
              <c:strCache>
                <c:ptCount val="3"/>
                <c:pt idx="0">
                  <c:v>20%-30%</c:v>
                </c:pt>
                <c:pt idx="1">
                  <c:v>10%-20%</c:v>
                </c:pt>
                <c:pt idx="2">
                  <c:v>30%-40%</c:v>
                </c:pt>
              </c:strCache>
            </c:strRef>
          </c:cat>
          <c:val>
            <c:numRef>
              <c:f>'Task 6 - Dashboard'!$E$17:$E$19</c:f>
              <c:numCache>
                <c:formatCode>General</c:formatCode>
                <c:ptCount val="3"/>
                <c:pt idx="0">
                  <c:v>32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3-4C15-9D89-AD34F695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533400</xdr:colOff>
      <xdr:row>12</xdr:row>
      <xdr:rowOff>121920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518160</xdr:colOff>
      <xdr:row>12</xdr:row>
      <xdr:rowOff>114300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525780</xdr:colOff>
      <xdr:row>28</xdr:row>
      <xdr:rowOff>175260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434340</xdr:colOff>
      <xdr:row>28</xdr:row>
      <xdr:rowOff>121920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20</xdr:row>
      <xdr:rowOff>91440</xdr:rowOff>
    </xdr:from>
    <xdr:ext cx="4377856" cy="2842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886238</xdr:colOff>
      <xdr:row>20</xdr:row>
      <xdr:rowOff>68580</xdr:rowOff>
    </xdr:from>
    <xdr:ext cx="4629979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762993</xdr:colOff>
      <xdr:row>20</xdr:row>
      <xdr:rowOff>19547</xdr:rowOff>
    </xdr:from>
    <xdr:ext cx="4339094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48370</xdr:colOff>
      <xdr:row>37</xdr:row>
      <xdr:rowOff>79513</xdr:rowOff>
    </xdr:from>
    <xdr:ext cx="4374543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878619</xdr:colOff>
      <xdr:row>37</xdr:row>
      <xdr:rowOff>93428</xdr:rowOff>
    </xdr:from>
    <xdr:ext cx="4648200" cy="286512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796787</xdr:colOff>
      <xdr:row>37</xdr:row>
      <xdr:rowOff>67256</xdr:rowOff>
    </xdr:from>
    <xdr:ext cx="4312920" cy="286512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3:X43">
  <autoFilter ref="A3:X43" xr:uid="{00000000-0009-0000-0100-000001000000}"/>
  <tableColumns count="24">
    <tableColumn id="1" xr3:uid="{00000000-0010-0000-0000-000001000000}" name="gender"/>
    <tableColumn id="2" xr3:uid="{00000000-0010-0000-0000-000002000000}" name="age"/>
    <tableColumn id="3" xr3:uid="{00000000-0010-0000-0000-000003000000}" name="Investment_Avenues"/>
    <tableColumn id="4" xr3:uid="{00000000-0010-0000-0000-000004000000}" name="Mutual_Funds"/>
    <tableColumn id="5" xr3:uid="{00000000-0010-0000-0000-000005000000}" name="Equity_Market"/>
    <tableColumn id="6" xr3:uid="{00000000-0010-0000-0000-000006000000}" name="Debentures"/>
    <tableColumn id="7" xr3:uid="{00000000-0010-0000-0000-000007000000}" name="Government_Bonds"/>
    <tableColumn id="8" xr3:uid="{00000000-0010-0000-0000-000008000000}" name="Fixed_Deposits"/>
    <tableColumn id="9" xr3:uid="{00000000-0010-0000-0000-000009000000}" name="PPF"/>
    <tableColumn id="10" xr3:uid="{00000000-0010-0000-0000-00000A000000}" name="Gold"/>
    <tableColumn id="11" xr3:uid="{00000000-0010-0000-0000-00000B000000}" name="Stock_Marktet"/>
    <tableColumn id="12" xr3:uid="{00000000-0010-0000-0000-00000C000000}" name="Factor"/>
    <tableColumn id="13" xr3:uid="{00000000-0010-0000-0000-00000D000000}" name="Objective"/>
    <tableColumn id="14" xr3:uid="{00000000-0010-0000-0000-00000E000000}" name="Purpose"/>
    <tableColumn id="15" xr3:uid="{00000000-0010-0000-0000-00000F000000}" name="Duration"/>
    <tableColumn id="16" xr3:uid="{00000000-0010-0000-0000-000010000000}" name="Invest_Monitor"/>
    <tableColumn id="17" xr3:uid="{00000000-0010-0000-0000-000011000000}" name="Expect"/>
    <tableColumn id="18" xr3:uid="{00000000-0010-0000-0000-000012000000}" name="Avenue"/>
    <tableColumn id="19" xr3:uid="{00000000-0010-0000-0000-000013000000}" name="What are your savings objectives?"/>
    <tableColumn id="20" xr3:uid="{00000000-0010-0000-0000-000014000000}" name="Reason_Equity"/>
    <tableColumn id="21" xr3:uid="{00000000-0010-0000-0000-000015000000}" name="Reason_Mutual"/>
    <tableColumn id="22" xr3:uid="{00000000-0010-0000-0000-000016000000}" name="Reason_Bonds"/>
    <tableColumn id="23" xr3:uid="{00000000-0010-0000-0000-000017000000}" name="Reason_FD"/>
    <tableColumn id="24" xr3:uid="{00000000-0010-0000-0000-000018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showGridLines="0" workbookViewId="0">
      <pane ySplit="3" topLeftCell="A4" activePane="bottomLeft" state="frozen"/>
      <selection pane="bottomLeft" activeCell="D1" sqref="D1"/>
    </sheetView>
  </sheetViews>
  <sheetFormatPr defaultRowHeight="14.4" x14ac:dyDescent="0.3"/>
  <cols>
    <col min="1" max="2" width="12" customWidth="1"/>
    <col min="3" max="3" width="20" customWidth="1"/>
    <col min="4" max="4" width="14" customWidth="1"/>
    <col min="5" max="5" width="15" customWidth="1"/>
    <col min="6" max="6" width="12" customWidth="1"/>
    <col min="7" max="7" width="18" customWidth="1"/>
    <col min="8" max="8" width="16" customWidth="1"/>
    <col min="9" max="10" width="12" customWidth="1"/>
    <col min="11" max="11" width="15" customWidth="1"/>
    <col min="12" max="12" width="16" customWidth="1"/>
    <col min="13" max="13" width="22" customWidth="1"/>
    <col min="14" max="14" width="20" customWidth="1"/>
    <col min="15" max="15" width="19" customWidth="1"/>
    <col min="16" max="16" width="16" customWidth="1"/>
    <col min="17" max="17" width="12" customWidth="1"/>
    <col min="18" max="18" width="23" customWidth="1"/>
    <col min="19" max="19" width="35" customWidth="1"/>
    <col min="20" max="21" width="22" customWidth="1"/>
    <col min="22" max="22" width="17" customWidth="1"/>
    <col min="23" max="23" width="21" customWidth="1"/>
    <col min="24" max="24" width="26" customWidth="1"/>
  </cols>
  <sheetData>
    <row r="1" spans="1:24" ht="21" x14ac:dyDescent="0.4">
      <c r="A1" s="1" t="s">
        <v>0</v>
      </c>
    </row>
    <row r="2" spans="1:24" x14ac:dyDescent="0.3">
      <c r="A2" s="4"/>
    </row>
    <row r="3" spans="1:24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</row>
    <row r="4" spans="1:24" x14ac:dyDescent="0.3">
      <c r="A4" t="s">
        <v>25</v>
      </c>
      <c r="B4">
        <v>34</v>
      </c>
      <c r="C4" t="s">
        <v>26</v>
      </c>
      <c r="D4">
        <v>1</v>
      </c>
      <c r="E4">
        <v>2</v>
      </c>
      <c r="F4">
        <v>5</v>
      </c>
      <c r="G4">
        <v>3</v>
      </c>
      <c r="H4">
        <v>7</v>
      </c>
      <c r="I4">
        <v>6</v>
      </c>
      <c r="J4">
        <v>4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28</v>
      </c>
      <c r="U4" t="s">
        <v>35</v>
      </c>
      <c r="V4" t="s">
        <v>36</v>
      </c>
      <c r="W4" t="s">
        <v>37</v>
      </c>
      <c r="X4" t="s">
        <v>38</v>
      </c>
    </row>
    <row r="5" spans="1:24" x14ac:dyDescent="0.3">
      <c r="A5" t="s">
        <v>25</v>
      </c>
      <c r="B5">
        <v>23</v>
      </c>
      <c r="C5" t="s">
        <v>26</v>
      </c>
      <c r="D5">
        <v>4</v>
      </c>
      <c r="E5">
        <v>3</v>
      </c>
      <c r="F5">
        <v>2</v>
      </c>
      <c r="G5">
        <v>1</v>
      </c>
      <c r="H5">
        <v>5</v>
      </c>
      <c r="I5">
        <v>6</v>
      </c>
      <c r="J5">
        <v>7</v>
      </c>
      <c r="K5" t="s">
        <v>39</v>
      </c>
      <c r="L5" t="s">
        <v>40</v>
      </c>
      <c r="M5" t="s">
        <v>28</v>
      </c>
      <c r="N5" t="s">
        <v>29</v>
      </c>
      <c r="O5" t="s">
        <v>41</v>
      </c>
      <c r="P5" t="s">
        <v>42</v>
      </c>
      <c r="Q5" t="s">
        <v>32</v>
      </c>
      <c r="R5" t="s">
        <v>33</v>
      </c>
      <c r="S5" t="s">
        <v>43</v>
      </c>
      <c r="T5" t="s">
        <v>44</v>
      </c>
      <c r="U5" t="s">
        <v>35</v>
      </c>
      <c r="V5" t="s">
        <v>36</v>
      </c>
      <c r="W5" t="s">
        <v>45</v>
      </c>
      <c r="X5" t="s">
        <v>46</v>
      </c>
    </row>
    <row r="6" spans="1:24" x14ac:dyDescent="0.3">
      <c r="A6" t="s">
        <v>47</v>
      </c>
      <c r="B6">
        <v>30</v>
      </c>
      <c r="C6" t="s">
        <v>26</v>
      </c>
      <c r="D6">
        <v>3</v>
      </c>
      <c r="E6">
        <v>6</v>
      </c>
      <c r="F6">
        <v>4</v>
      </c>
      <c r="G6">
        <v>2</v>
      </c>
      <c r="H6">
        <v>5</v>
      </c>
      <c r="I6">
        <v>1</v>
      </c>
      <c r="J6">
        <v>7</v>
      </c>
      <c r="K6" t="s">
        <v>26</v>
      </c>
      <c r="L6" t="s">
        <v>27</v>
      </c>
      <c r="M6" t="s">
        <v>28</v>
      </c>
      <c r="N6" t="s">
        <v>29</v>
      </c>
      <c r="O6" t="s">
        <v>48</v>
      </c>
      <c r="P6" t="s">
        <v>49</v>
      </c>
      <c r="Q6" t="s">
        <v>32</v>
      </c>
      <c r="R6" t="s">
        <v>50</v>
      </c>
      <c r="S6" t="s">
        <v>34</v>
      </c>
      <c r="T6" t="s">
        <v>28</v>
      </c>
      <c r="U6" t="s">
        <v>51</v>
      </c>
      <c r="V6" t="s">
        <v>52</v>
      </c>
      <c r="W6" t="s">
        <v>37</v>
      </c>
      <c r="X6" t="s">
        <v>53</v>
      </c>
    </row>
    <row r="7" spans="1:24" x14ac:dyDescent="0.3">
      <c r="A7" t="s">
        <v>47</v>
      </c>
      <c r="B7">
        <v>22</v>
      </c>
      <c r="C7" t="s">
        <v>26</v>
      </c>
      <c r="D7">
        <v>2</v>
      </c>
      <c r="E7">
        <v>1</v>
      </c>
      <c r="F7">
        <v>3</v>
      </c>
      <c r="G7">
        <v>7</v>
      </c>
      <c r="H7">
        <v>6</v>
      </c>
      <c r="I7">
        <v>4</v>
      </c>
      <c r="J7">
        <v>5</v>
      </c>
      <c r="K7" t="s">
        <v>26</v>
      </c>
      <c r="L7" t="s">
        <v>27</v>
      </c>
      <c r="M7" t="s">
        <v>54</v>
      </c>
      <c r="N7" t="s">
        <v>29</v>
      </c>
      <c r="O7" t="s">
        <v>55</v>
      </c>
      <c r="P7" t="s">
        <v>49</v>
      </c>
      <c r="Q7" t="s">
        <v>56</v>
      </c>
      <c r="R7" t="s">
        <v>50</v>
      </c>
      <c r="S7" t="s">
        <v>34</v>
      </c>
      <c r="T7" t="s">
        <v>44</v>
      </c>
      <c r="U7" t="s">
        <v>57</v>
      </c>
      <c r="V7" t="s">
        <v>58</v>
      </c>
      <c r="W7" t="s">
        <v>45</v>
      </c>
      <c r="X7" t="s">
        <v>59</v>
      </c>
    </row>
    <row r="8" spans="1:24" x14ac:dyDescent="0.3">
      <c r="A8" t="s">
        <v>25</v>
      </c>
      <c r="B8">
        <v>24</v>
      </c>
      <c r="C8" t="s">
        <v>39</v>
      </c>
      <c r="D8">
        <v>2</v>
      </c>
      <c r="E8">
        <v>1</v>
      </c>
      <c r="F8">
        <v>3</v>
      </c>
      <c r="G8">
        <v>6</v>
      </c>
      <c r="H8">
        <v>4</v>
      </c>
      <c r="I8">
        <v>5</v>
      </c>
      <c r="J8">
        <v>7</v>
      </c>
      <c r="K8" t="s">
        <v>39</v>
      </c>
      <c r="L8" t="s">
        <v>27</v>
      </c>
      <c r="M8" t="s">
        <v>54</v>
      </c>
      <c r="N8" t="s">
        <v>29</v>
      </c>
      <c r="O8" t="s">
        <v>55</v>
      </c>
      <c r="P8" t="s">
        <v>49</v>
      </c>
      <c r="Q8" t="s">
        <v>32</v>
      </c>
      <c r="R8" t="s">
        <v>50</v>
      </c>
      <c r="S8" t="s">
        <v>34</v>
      </c>
      <c r="T8" t="s">
        <v>28</v>
      </c>
      <c r="U8" t="s">
        <v>35</v>
      </c>
      <c r="V8" t="s">
        <v>36</v>
      </c>
      <c r="W8" t="s">
        <v>60</v>
      </c>
      <c r="X8" t="s">
        <v>59</v>
      </c>
    </row>
    <row r="9" spans="1:24" x14ac:dyDescent="0.3">
      <c r="A9" t="s">
        <v>25</v>
      </c>
      <c r="B9">
        <v>24</v>
      </c>
      <c r="C9" t="s">
        <v>39</v>
      </c>
      <c r="D9">
        <v>7</v>
      </c>
      <c r="E9">
        <v>5</v>
      </c>
      <c r="F9">
        <v>4</v>
      </c>
      <c r="G9">
        <v>6</v>
      </c>
      <c r="H9">
        <v>3</v>
      </c>
      <c r="I9">
        <v>1</v>
      </c>
      <c r="J9">
        <v>2</v>
      </c>
      <c r="K9" t="s">
        <v>39</v>
      </c>
      <c r="L9" t="s">
        <v>61</v>
      </c>
      <c r="M9" t="s">
        <v>28</v>
      </c>
      <c r="N9" t="s">
        <v>29</v>
      </c>
      <c r="O9" t="s">
        <v>30</v>
      </c>
      <c r="P9" t="s">
        <v>49</v>
      </c>
      <c r="Q9" t="s">
        <v>62</v>
      </c>
      <c r="R9" t="s">
        <v>33</v>
      </c>
      <c r="S9" t="s">
        <v>34</v>
      </c>
      <c r="T9" t="s">
        <v>63</v>
      </c>
      <c r="U9" t="s">
        <v>57</v>
      </c>
      <c r="V9" t="s">
        <v>36</v>
      </c>
      <c r="W9" t="s">
        <v>60</v>
      </c>
      <c r="X9" t="s">
        <v>59</v>
      </c>
    </row>
    <row r="10" spans="1:24" x14ac:dyDescent="0.3">
      <c r="A10" t="s">
        <v>25</v>
      </c>
      <c r="B10">
        <v>27</v>
      </c>
      <c r="C10" t="s">
        <v>26</v>
      </c>
      <c r="D10">
        <v>3</v>
      </c>
      <c r="E10">
        <v>6</v>
      </c>
      <c r="F10">
        <v>4</v>
      </c>
      <c r="G10">
        <v>2</v>
      </c>
      <c r="H10">
        <v>5</v>
      </c>
      <c r="I10">
        <v>1</v>
      </c>
      <c r="J10">
        <v>7</v>
      </c>
      <c r="K10" t="s">
        <v>26</v>
      </c>
      <c r="L10" t="s">
        <v>27</v>
      </c>
      <c r="M10" t="s">
        <v>28</v>
      </c>
      <c r="N10" t="s">
        <v>29</v>
      </c>
      <c r="O10" t="s">
        <v>48</v>
      </c>
      <c r="P10" t="s">
        <v>31</v>
      </c>
      <c r="Q10" t="s">
        <v>32</v>
      </c>
      <c r="R10" t="s">
        <v>50</v>
      </c>
      <c r="S10" t="s">
        <v>34</v>
      </c>
      <c r="T10" t="s">
        <v>28</v>
      </c>
      <c r="U10" t="s">
        <v>35</v>
      </c>
      <c r="V10" t="s">
        <v>52</v>
      </c>
      <c r="W10" t="s">
        <v>45</v>
      </c>
      <c r="X10" t="s">
        <v>46</v>
      </c>
    </row>
    <row r="11" spans="1:24" x14ac:dyDescent="0.3">
      <c r="A11" t="s">
        <v>47</v>
      </c>
      <c r="B11">
        <v>21</v>
      </c>
      <c r="C11" t="s">
        <v>26</v>
      </c>
      <c r="D11">
        <v>2</v>
      </c>
      <c r="E11">
        <v>3</v>
      </c>
      <c r="F11">
        <v>7</v>
      </c>
      <c r="G11">
        <v>4</v>
      </c>
      <c r="H11">
        <v>6</v>
      </c>
      <c r="I11">
        <v>1</v>
      </c>
      <c r="J11">
        <v>5</v>
      </c>
      <c r="K11" t="s">
        <v>26</v>
      </c>
      <c r="L11" t="s">
        <v>61</v>
      </c>
      <c r="M11" t="s">
        <v>28</v>
      </c>
      <c r="N11" t="s">
        <v>29</v>
      </c>
      <c r="O11" t="s">
        <v>48</v>
      </c>
      <c r="P11" t="s">
        <v>31</v>
      </c>
      <c r="Q11" t="s">
        <v>32</v>
      </c>
      <c r="R11" t="s">
        <v>33</v>
      </c>
      <c r="S11" t="s">
        <v>34</v>
      </c>
      <c r="T11" t="s">
        <v>28</v>
      </c>
      <c r="U11" t="s">
        <v>35</v>
      </c>
      <c r="V11" t="s">
        <v>52</v>
      </c>
      <c r="W11" t="s">
        <v>60</v>
      </c>
      <c r="X11" t="s">
        <v>38</v>
      </c>
    </row>
    <row r="12" spans="1:24" x14ac:dyDescent="0.3">
      <c r="A12" t="s">
        <v>47</v>
      </c>
      <c r="B12">
        <v>35</v>
      </c>
      <c r="C12" t="s">
        <v>26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26</v>
      </c>
      <c r="L12" t="s">
        <v>27</v>
      </c>
      <c r="M12" t="s">
        <v>64</v>
      </c>
      <c r="N12" t="s">
        <v>65</v>
      </c>
      <c r="O12" t="s">
        <v>30</v>
      </c>
      <c r="P12" t="s">
        <v>42</v>
      </c>
      <c r="Q12" t="s">
        <v>32</v>
      </c>
      <c r="R12" t="s">
        <v>50</v>
      </c>
      <c r="S12" t="s">
        <v>34</v>
      </c>
      <c r="T12" t="s">
        <v>28</v>
      </c>
      <c r="U12" t="s">
        <v>57</v>
      </c>
      <c r="V12" t="s">
        <v>36</v>
      </c>
      <c r="W12" t="s">
        <v>37</v>
      </c>
      <c r="X12" t="s">
        <v>53</v>
      </c>
    </row>
    <row r="13" spans="1:24" x14ac:dyDescent="0.3">
      <c r="A13" t="s">
        <v>47</v>
      </c>
      <c r="B13">
        <v>31</v>
      </c>
      <c r="C13" t="s">
        <v>26</v>
      </c>
      <c r="D13">
        <v>1</v>
      </c>
      <c r="E13">
        <v>3</v>
      </c>
      <c r="F13">
        <v>7</v>
      </c>
      <c r="G13">
        <v>4</v>
      </c>
      <c r="H13">
        <v>5</v>
      </c>
      <c r="I13">
        <v>2</v>
      </c>
      <c r="J13">
        <v>6</v>
      </c>
      <c r="K13" t="s">
        <v>26</v>
      </c>
      <c r="L13" t="s">
        <v>27</v>
      </c>
      <c r="M13" t="s">
        <v>28</v>
      </c>
      <c r="N13" t="s">
        <v>29</v>
      </c>
      <c r="O13" t="s">
        <v>48</v>
      </c>
      <c r="P13" t="s">
        <v>31</v>
      </c>
      <c r="Q13" t="s">
        <v>62</v>
      </c>
      <c r="R13" t="s">
        <v>66</v>
      </c>
      <c r="S13" t="s">
        <v>34</v>
      </c>
      <c r="T13" t="s">
        <v>28</v>
      </c>
      <c r="U13" t="s">
        <v>57</v>
      </c>
      <c r="V13" t="s">
        <v>52</v>
      </c>
      <c r="W13" t="s">
        <v>37</v>
      </c>
      <c r="X13" t="s">
        <v>38</v>
      </c>
    </row>
    <row r="14" spans="1:24" x14ac:dyDescent="0.3">
      <c r="A14" t="s">
        <v>25</v>
      </c>
      <c r="B14">
        <v>35</v>
      </c>
      <c r="C14" t="s">
        <v>26</v>
      </c>
      <c r="D14">
        <v>2</v>
      </c>
      <c r="E14">
        <v>4</v>
      </c>
      <c r="F14">
        <v>7</v>
      </c>
      <c r="G14">
        <v>5</v>
      </c>
      <c r="H14">
        <v>3</v>
      </c>
      <c r="I14">
        <v>1</v>
      </c>
      <c r="J14">
        <v>6</v>
      </c>
      <c r="K14" t="s">
        <v>26</v>
      </c>
      <c r="L14" t="s">
        <v>61</v>
      </c>
      <c r="M14" t="s">
        <v>64</v>
      </c>
      <c r="N14" t="s">
        <v>65</v>
      </c>
      <c r="O14" t="s">
        <v>48</v>
      </c>
      <c r="P14" t="s">
        <v>31</v>
      </c>
      <c r="Q14" t="s">
        <v>32</v>
      </c>
      <c r="R14" t="s">
        <v>33</v>
      </c>
      <c r="S14" t="s">
        <v>34</v>
      </c>
      <c r="T14" t="s">
        <v>28</v>
      </c>
      <c r="U14" t="s">
        <v>35</v>
      </c>
      <c r="V14" t="s">
        <v>52</v>
      </c>
      <c r="W14" t="s">
        <v>60</v>
      </c>
      <c r="X14" t="s">
        <v>46</v>
      </c>
    </row>
    <row r="15" spans="1:24" x14ac:dyDescent="0.3">
      <c r="A15" t="s">
        <v>47</v>
      </c>
      <c r="B15">
        <v>29</v>
      </c>
      <c r="C15" t="s">
        <v>26</v>
      </c>
      <c r="D15">
        <v>2</v>
      </c>
      <c r="E15">
        <v>5</v>
      </c>
      <c r="F15">
        <v>7</v>
      </c>
      <c r="G15">
        <v>6</v>
      </c>
      <c r="H15">
        <v>3</v>
      </c>
      <c r="I15">
        <v>1</v>
      </c>
      <c r="J15">
        <v>4</v>
      </c>
      <c r="K15" t="s">
        <v>26</v>
      </c>
      <c r="L15" t="s">
        <v>61</v>
      </c>
      <c r="M15" t="s">
        <v>28</v>
      </c>
      <c r="N15" t="s">
        <v>29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T15" t="s">
        <v>28</v>
      </c>
      <c r="U15" t="s">
        <v>57</v>
      </c>
      <c r="V15" t="s">
        <v>52</v>
      </c>
      <c r="W15" t="s">
        <v>37</v>
      </c>
      <c r="X15" t="s">
        <v>46</v>
      </c>
    </row>
    <row r="16" spans="1:24" x14ac:dyDescent="0.3">
      <c r="A16" t="s">
        <v>25</v>
      </c>
      <c r="B16">
        <v>21</v>
      </c>
      <c r="C16" t="s">
        <v>39</v>
      </c>
      <c r="D16">
        <v>1</v>
      </c>
      <c r="E16">
        <v>2</v>
      </c>
      <c r="F16">
        <v>3</v>
      </c>
      <c r="G16">
        <v>4</v>
      </c>
      <c r="H16">
        <v>5</v>
      </c>
      <c r="I16">
        <v>6</v>
      </c>
      <c r="J16">
        <v>7</v>
      </c>
      <c r="K16" t="s">
        <v>39</v>
      </c>
      <c r="L16" t="s">
        <v>27</v>
      </c>
      <c r="M16" t="s">
        <v>28</v>
      </c>
      <c r="N16" t="s">
        <v>65</v>
      </c>
      <c r="O16" t="s">
        <v>30</v>
      </c>
      <c r="P16" t="s">
        <v>42</v>
      </c>
      <c r="Q16" t="s">
        <v>32</v>
      </c>
      <c r="R16" t="s">
        <v>33</v>
      </c>
      <c r="S16" t="s">
        <v>67</v>
      </c>
      <c r="T16" t="s">
        <v>44</v>
      </c>
      <c r="U16" t="s">
        <v>35</v>
      </c>
      <c r="V16" t="s">
        <v>36</v>
      </c>
      <c r="W16" t="s">
        <v>60</v>
      </c>
      <c r="X16" t="s">
        <v>59</v>
      </c>
    </row>
    <row r="17" spans="1:24" x14ac:dyDescent="0.3">
      <c r="A17" t="s">
        <v>25</v>
      </c>
      <c r="B17">
        <v>28</v>
      </c>
      <c r="C17" t="s">
        <v>26</v>
      </c>
      <c r="D17">
        <v>2</v>
      </c>
      <c r="E17">
        <v>3</v>
      </c>
      <c r="F17">
        <v>7</v>
      </c>
      <c r="G17">
        <v>4</v>
      </c>
      <c r="H17">
        <v>5</v>
      </c>
      <c r="I17">
        <v>1</v>
      </c>
      <c r="J17">
        <v>6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  <c r="S17" t="s">
        <v>34</v>
      </c>
      <c r="T17" t="s">
        <v>28</v>
      </c>
      <c r="U17" t="s">
        <v>57</v>
      </c>
      <c r="V17" t="s">
        <v>52</v>
      </c>
      <c r="W17" t="s">
        <v>60</v>
      </c>
      <c r="X17" t="s">
        <v>38</v>
      </c>
    </row>
    <row r="18" spans="1:24" x14ac:dyDescent="0.3">
      <c r="A18" t="s">
        <v>25</v>
      </c>
      <c r="B18">
        <v>25</v>
      </c>
      <c r="C18" t="s">
        <v>26</v>
      </c>
      <c r="D18">
        <v>2</v>
      </c>
      <c r="E18">
        <v>3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66</v>
      </c>
      <c r="S18" t="s">
        <v>43</v>
      </c>
      <c r="T18" t="s">
        <v>44</v>
      </c>
      <c r="U18" t="s">
        <v>35</v>
      </c>
      <c r="V18" t="s">
        <v>52</v>
      </c>
      <c r="W18" t="s">
        <v>60</v>
      </c>
      <c r="X18" t="s">
        <v>46</v>
      </c>
    </row>
    <row r="19" spans="1:24" x14ac:dyDescent="0.3">
      <c r="A19" t="s">
        <v>47</v>
      </c>
      <c r="B19">
        <v>27</v>
      </c>
      <c r="C19" t="s">
        <v>26</v>
      </c>
      <c r="D19">
        <v>2</v>
      </c>
      <c r="E19">
        <v>3</v>
      </c>
      <c r="F19">
        <v>7</v>
      </c>
      <c r="G19">
        <v>5</v>
      </c>
      <c r="H19">
        <v>4</v>
      </c>
      <c r="I19">
        <v>1</v>
      </c>
      <c r="J19">
        <v>6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32</v>
      </c>
      <c r="R19" t="s">
        <v>33</v>
      </c>
      <c r="S19" t="s">
        <v>43</v>
      </c>
      <c r="T19" t="s">
        <v>28</v>
      </c>
      <c r="U19" t="s">
        <v>57</v>
      </c>
      <c r="V19" t="s">
        <v>52</v>
      </c>
      <c r="W19" t="s">
        <v>60</v>
      </c>
      <c r="X19" t="s">
        <v>38</v>
      </c>
    </row>
    <row r="20" spans="1:24" x14ac:dyDescent="0.3">
      <c r="A20" t="s">
        <v>25</v>
      </c>
      <c r="B20">
        <v>28</v>
      </c>
      <c r="C20" t="s">
        <v>26</v>
      </c>
      <c r="D20">
        <v>3</v>
      </c>
      <c r="E20">
        <v>2</v>
      </c>
      <c r="F20">
        <v>7</v>
      </c>
      <c r="G20">
        <v>5</v>
      </c>
      <c r="H20">
        <v>4</v>
      </c>
      <c r="I20">
        <v>1</v>
      </c>
      <c r="J20">
        <v>6</v>
      </c>
      <c r="K20" t="s">
        <v>26</v>
      </c>
      <c r="L20" t="s">
        <v>61</v>
      </c>
      <c r="M20" t="s">
        <v>64</v>
      </c>
      <c r="N20" t="s">
        <v>29</v>
      </c>
      <c r="O20" t="s">
        <v>30</v>
      </c>
      <c r="P20" t="s">
        <v>31</v>
      </c>
      <c r="Q20" t="s">
        <v>32</v>
      </c>
      <c r="R20" t="s">
        <v>66</v>
      </c>
      <c r="S20" t="s">
        <v>43</v>
      </c>
      <c r="T20" t="s">
        <v>28</v>
      </c>
      <c r="U20" t="s">
        <v>57</v>
      </c>
      <c r="V20" t="s">
        <v>52</v>
      </c>
      <c r="W20" t="s">
        <v>60</v>
      </c>
      <c r="X20" t="s">
        <v>53</v>
      </c>
    </row>
    <row r="21" spans="1:24" x14ac:dyDescent="0.3">
      <c r="A21" t="s">
        <v>47</v>
      </c>
      <c r="B21">
        <v>27</v>
      </c>
      <c r="C21" t="s">
        <v>26</v>
      </c>
      <c r="D21">
        <v>3</v>
      </c>
      <c r="E21">
        <v>2</v>
      </c>
      <c r="F21">
        <v>7</v>
      </c>
      <c r="G21">
        <v>4</v>
      </c>
      <c r="H21">
        <v>5</v>
      </c>
      <c r="I21">
        <v>1</v>
      </c>
      <c r="J21">
        <v>6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 t="s">
        <v>33</v>
      </c>
      <c r="S21" t="s">
        <v>34</v>
      </c>
      <c r="T21" t="s">
        <v>28</v>
      </c>
      <c r="U21" t="s">
        <v>35</v>
      </c>
      <c r="V21" t="s">
        <v>52</v>
      </c>
      <c r="W21" t="s">
        <v>60</v>
      </c>
      <c r="X21" t="s">
        <v>46</v>
      </c>
    </row>
    <row r="22" spans="1:24" x14ac:dyDescent="0.3">
      <c r="A22" t="s">
        <v>47</v>
      </c>
      <c r="B22">
        <v>29</v>
      </c>
      <c r="C22" t="s">
        <v>26</v>
      </c>
      <c r="D22">
        <v>3</v>
      </c>
      <c r="E22">
        <v>2</v>
      </c>
      <c r="F22">
        <v>7</v>
      </c>
      <c r="G22">
        <v>4</v>
      </c>
      <c r="H22">
        <v>5</v>
      </c>
      <c r="I22">
        <v>1</v>
      </c>
      <c r="J22">
        <v>6</v>
      </c>
      <c r="K22" t="s">
        <v>26</v>
      </c>
      <c r="L22" t="s">
        <v>61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  <c r="R22" t="s">
        <v>33</v>
      </c>
      <c r="S22" t="s">
        <v>34</v>
      </c>
      <c r="T22" t="s">
        <v>28</v>
      </c>
      <c r="U22" t="s">
        <v>35</v>
      </c>
      <c r="V22" t="s">
        <v>52</v>
      </c>
      <c r="W22" t="s">
        <v>60</v>
      </c>
      <c r="X22" t="s">
        <v>38</v>
      </c>
    </row>
    <row r="23" spans="1:24" x14ac:dyDescent="0.3">
      <c r="A23" t="s">
        <v>47</v>
      </c>
      <c r="B23">
        <v>26</v>
      </c>
      <c r="C23" t="s">
        <v>26</v>
      </c>
      <c r="D23">
        <v>3</v>
      </c>
      <c r="E23">
        <v>4</v>
      </c>
      <c r="F23">
        <v>6</v>
      </c>
      <c r="G23">
        <v>5</v>
      </c>
      <c r="H23">
        <v>1</v>
      </c>
      <c r="I23">
        <v>2</v>
      </c>
      <c r="J23">
        <v>7</v>
      </c>
      <c r="K23" t="s">
        <v>26</v>
      </c>
      <c r="L23" t="s">
        <v>61</v>
      </c>
      <c r="M23" t="s">
        <v>28</v>
      </c>
      <c r="N23" t="s">
        <v>29</v>
      </c>
      <c r="O23" t="s">
        <v>48</v>
      </c>
      <c r="P23" t="s">
        <v>31</v>
      </c>
      <c r="Q23" t="s">
        <v>32</v>
      </c>
      <c r="R23" t="s">
        <v>66</v>
      </c>
      <c r="S23" t="s">
        <v>43</v>
      </c>
      <c r="T23" t="s">
        <v>28</v>
      </c>
      <c r="U23" t="s">
        <v>57</v>
      </c>
      <c r="V23" t="s">
        <v>52</v>
      </c>
      <c r="W23" t="s">
        <v>60</v>
      </c>
      <c r="X23" t="s">
        <v>38</v>
      </c>
    </row>
    <row r="24" spans="1:24" x14ac:dyDescent="0.3">
      <c r="A24" t="s">
        <v>47</v>
      </c>
      <c r="B24">
        <v>29</v>
      </c>
      <c r="C24" t="s">
        <v>26</v>
      </c>
      <c r="D24">
        <v>2</v>
      </c>
      <c r="E24">
        <v>4</v>
      </c>
      <c r="F24">
        <v>7</v>
      </c>
      <c r="G24">
        <v>5</v>
      </c>
      <c r="H24">
        <v>3</v>
      </c>
      <c r="I24">
        <v>1</v>
      </c>
      <c r="J24">
        <v>6</v>
      </c>
      <c r="K24" t="s">
        <v>26</v>
      </c>
      <c r="L24" t="s">
        <v>27</v>
      </c>
      <c r="M24" t="s">
        <v>64</v>
      </c>
      <c r="N24" t="s">
        <v>29</v>
      </c>
      <c r="O24" t="s">
        <v>48</v>
      </c>
      <c r="P24" t="s">
        <v>42</v>
      </c>
      <c r="Q24" t="s">
        <v>32</v>
      </c>
      <c r="R24" t="s">
        <v>33</v>
      </c>
      <c r="S24" t="s">
        <v>34</v>
      </c>
      <c r="T24" t="s">
        <v>28</v>
      </c>
      <c r="U24" t="s">
        <v>35</v>
      </c>
      <c r="V24" t="s">
        <v>52</v>
      </c>
      <c r="W24" t="s">
        <v>37</v>
      </c>
      <c r="X24" t="s">
        <v>46</v>
      </c>
    </row>
    <row r="25" spans="1:24" x14ac:dyDescent="0.3">
      <c r="A25" t="s">
        <v>25</v>
      </c>
      <c r="B25">
        <v>24</v>
      </c>
      <c r="C25" t="s">
        <v>26</v>
      </c>
      <c r="D25">
        <v>2</v>
      </c>
      <c r="E25">
        <v>4</v>
      </c>
      <c r="F25">
        <v>5</v>
      </c>
      <c r="G25">
        <v>6</v>
      </c>
      <c r="H25">
        <v>3</v>
      </c>
      <c r="I25">
        <v>1</v>
      </c>
      <c r="J25">
        <v>7</v>
      </c>
      <c r="K25" t="s">
        <v>26</v>
      </c>
      <c r="L25" t="s">
        <v>61</v>
      </c>
      <c r="M25" t="s">
        <v>28</v>
      </c>
      <c r="N25" t="s">
        <v>29</v>
      </c>
      <c r="O25" t="s">
        <v>48</v>
      </c>
      <c r="P25" t="s">
        <v>31</v>
      </c>
      <c r="Q25" t="s">
        <v>32</v>
      </c>
      <c r="R25" t="s">
        <v>50</v>
      </c>
      <c r="S25" t="s">
        <v>43</v>
      </c>
      <c r="T25" t="s">
        <v>28</v>
      </c>
      <c r="U25" t="s">
        <v>35</v>
      </c>
      <c r="V25" t="s">
        <v>52</v>
      </c>
      <c r="W25" t="s">
        <v>60</v>
      </c>
      <c r="X25" t="s">
        <v>38</v>
      </c>
    </row>
    <row r="26" spans="1:24" x14ac:dyDescent="0.3">
      <c r="A26" t="s">
        <v>47</v>
      </c>
      <c r="B26">
        <v>27</v>
      </c>
      <c r="C26" t="s">
        <v>26</v>
      </c>
      <c r="D26">
        <v>3</v>
      </c>
      <c r="E26">
        <v>4</v>
      </c>
      <c r="F26">
        <v>6</v>
      </c>
      <c r="G26">
        <v>5</v>
      </c>
      <c r="H26">
        <v>2</v>
      </c>
      <c r="I26">
        <v>1</v>
      </c>
      <c r="J26">
        <v>7</v>
      </c>
      <c r="K26" t="s">
        <v>26</v>
      </c>
      <c r="L26" t="s">
        <v>27</v>
      </c>
      <c r="M26" t="s">
        <v>28</v>
      </c>
      <c r="N26" t="s">
        <v>29</v>
      </c>
      <c r="O26" t="s">
        <v>48</v>
      </c>
      <c r="P26" t="s">
        <v>31</v>
      </c>
      <c r="Q26" t="s">
        <v>32</v>
      </c>
      <c r="R26" t="s">
        <v>33</v>
      </c>
      <c r="S26" t="s">
        <v>34</v>
      </c>
      <c r="T26" t="s">
        <v>28</v>
      </c>
      <c r="U26" t="s">
        <v>35</v>
      </c>
      <c r="V26" t="s">
        <v>52</v>
      </c>
      <c r="W26" t="s">
        <v>60</v>
      </c>
      <c r="X26" t="s">
        <v>46</v>
      </c>
    </row>
    <row r="27" spans="1:24" x14ac:dyDescent="0.3">
      <c r="A27" t="s">
        <v>47</v>
      </c>
      <c r="B27">
        <v>25</v>
      </c>
      <c r="C27" t="s">
        <v>26</v>
      </c>
      <c r="D27">
        <v>2</v>
      </c>
      <c r="E27">
        <v>4</v>
      </c>
      <c r="F27">
        <v>6</v>
      </c>
      <c r="G27">
        <v>5</v>
      </c>
      <c r="H27">
        <v>3</v>
      </c>
      <c r="I27">
        <v>1</v>
      </c>
      <c r="J27">
        <v>7</v>
      </c>
      <c r="K27" t="s">
        <v>26</v>
      </c>
      <c r="L27" t="s">
        <v>61</v>
      </c>
      <c r="M27" t="s">
        <v>64</v>
      </c>
      <c r="N27" t="s">
        <v>65</v>
      </c>
      <c r="O27" t="s">
        <v>48</v>
      </c>
      <c r="P27" t="s">
        <v>42</v>
      </c>
      <c r="Q27" t="s">
        <v>32</v>
      </c>
      <c r="R27" t="s">
        <v>68</v>
      </c>
      <c r="S27" t="s">
        <v>43</v>
      </c>
      <c r="T27" t="s">
        <v>63</v>
      </c>
      <c r="U27" t="s">
        <v>35</v>
      </c>
      <c r="V27" t="s">
        <v>52</v>
      </c>
      <c r="W27" t="s">
        <v>60</v>
      </c>
      <c r="X27" t="s">
        <v>46</v>
      </c>
    </row>
    <row r="28" spans="1:24" x14ac:dyDescent="0.3">
      <c r="A28" t="s">
        <v>25</v>
      </c>
      <c r="B28">
        <v>26</v>
      </c>
      <c r="C28" t="s">
        <v>26</v>
      </c>
      <c r="D28">
        <v>2</v>
      </c>
      <c r="E28">
        <v>3</v>
      </c>
      <c r="F28">
        <v>7</v>
      </c>
      <c r="G28">
        <v>5</v>
      </c>
      <c r="H28">
        <v>4</v>
      </c>
      <c r="I28">
        <v>1</v>
      </c>
      <c r="J28">
        <v>6</v>
      </c>
      <c r="K28" t="s">
        <v>26</v>
      </c>
      <c r="L28" t="s">
        <v>27</v>
      </c>
      <c r="M28" t="s">
        <v>28</v>
      </c>
      <c r="N28" t="s">
        <v>29</v>
      </c>
      <c r="O28" t="s">
        <v>48</v>
      </c>
      <c r="P28" t="s">
        <v>31</v>
      </c>
      <c r="Q28" t="s">
        <v>62</v>
      </c>
      <c r="R28" t="s">
        <v>68</v>
      </c>
      <c r="S28" t="s">
        <v>34</v>
      </c>
      <c r="T28" t="s">
        <v>28</v>
      </c>
      <c r="U28" t="s">
        <v>35</v>
      </c>
      <c r="V28" t="s">
        <v>52</v>
      </c>
      <c r="W28" t="s">
        <v>60</v>
      </c>
      <c r="X28" t="s">
        <v>38</v>
      </c>
    </row>
    <row r="29" spans="1:24" x14ac:dyDescent="0.3">
      <c r="A29" t="s">
        <v>25</v>
      </c>
      <c r="B29">
        <v>32</v>
      </c>
      <c r="C29" t="s">
        <v>26</v>
      </c>
      <c r="D29">
        <v>3</v>
      </c>
      <c r="E29">
        <v>4</v>
      </c>
      <c r="F29">
        <v>7</v>
      </c>
      <c r="G29">
        <v>5</v>
      </c>
      <c r="H29">
        <v>1</v>
      </c>
      <c r="I29">
        <v>2</v>
      </c>
      <c r="J29">
        <v>6</v>
      </c>
      <c r="K29" t="s">
        <v>26</v>
      </c>
      <c r="L29" t="s">
        <v>61</v>
      </c>
      <c r="M29" t="s">
        <v>64</v>
      </c>
      <c r="N29" t="s">
        <v>29</v>
      </c>
      <c r="O29" t="s">
        <v>48</v>
      </c>
      <c r="P29" t="s">
        <v>31</v>
      </c>
      <c r="Q29" t="s">
        <v>32</v>
      </c>
      <c r="R29" t="s">
        <v>33</v>
      </c>
      <c r="S29" t="s">
        <v>34</v>
      </c>
      <c r="T29" t="s">
        <v>28</v>
      </c>
      <c r="U29" t="s">
        <v>35</v>
      </c>
      <c r="V29" t="s">
        <v>52</v>
      </c>
      <c r="W29" t="s">
        <v>37</v>
      </c>
      <c r="X29" t="s">
        <v>46</v>
      </c>
    </row>
    <row r="30" spans="1:24" x14ac:dyDescent="0.3">
      <c r="A30" t="s">
        <v>47</v>
      </c>
      <c r="B30">
        <v>26</v>
      </c>
      <c r="C30" t="s">
        <v>26</v>
      </c>
      <c r="D30">
        <v>3</v>
      </c>
      <c r="E30">
        <v>4</v>
      </c>
      <c r="F30">
        <v>6</v>
      </c>
      <c r="G30">
        <v>5</v>
      </c>
      <c r="H30">
        <v>1</v>
      </c>
      <c r="I30">
        <v>2</v>
      </c>
      <c r="J30">
        <v>7</v>
      </c>
      <c r="K30" t="s">
        <v>26</v>
      </c>
      <c r="L30" t="s">
        <v>27</v>
      </c>
      <c r="M30" t="s">
        <v>28</v>
      </c>
      <c r="N30" t="s">
        <v>29</v>
      </c>
      <c r="O30" t="s">
        <v>48</v>
      </c>
      <c r="P30" t="s">
        <v>31</v>
      </c>
      <c r="Q30" t="s">
        <v>32</v>
      </c>
      <c r="R30" t="s">
        <v>33</v>
      </c>
      <c r="S30" t="s">
        <v>34</v>
      </c>
      <c r="T30" t="s">
        <v>44</v>
      </c>
      <c r="U30" t="s">
        <v>57</v>
      </c>
      <c r="V30" t="s">
        <v>52</v>
      </c>
      <c r="W30" t="s">
        <v>37</v>
      </c>
      <c r="X30" t="s">
        <v>46</v>
      </c>
    </row>
    <row r="31" spans="1:24" x14ac:dyDescent="0.3">
      <c r="A31" t="s">
        <v>47</v>
      </c>
      <c r="B31">
        <v>31</v>
      </c>
      <c r="C31" t="s">
        <v>26</v>
      </c>
      <c r="D31">
        <v>2</v>
      </c>
      <c r="E31">
        <v>3</v>
      </c>
      <c r="F31">
        <v>7</v>
      </c>
      <c r="G31">
        <v>6</v>
      </c>
      <c r="H31">
        <v>4</v>
      </c>
      <c r="I31">
        <v>1</v>
      </c>
      <c r="J31">
        <v>5</v>
      </c>
      <c r="K31" t="s">
        <v>26</v>
      </c>
      <c r="L31" t="s">
        <v>61</v>
      </c>
      <c r="M31" t="s">
        <v>64</v>
      </c>
      <c r="N31" t="s">
        <v>65</v>
      </c>
      <c r="O31" t="s">
        <v>30</v>
      </c>
      <c r="P31" t="s">
        <v>31</v>
      </c>
      <c r="Q31" t="s">
        <v>32</v>
      </c>
      <c r="R31" t="s">
        <v>66</v>
      </c>
      <c r="S31" t="s">
        <v>43</v>
      </c>
      <c r="T31" t="s">
        <v>28</v>
      </c>
      <c r="U31" t="s">
        <v>57</v>
      </c>
      <c r="V31" t="s">
        <v>36</v>
      </c>
      <c r="W31" t="s">
        <v>37</v>
      </c>
      <c r="X31" t="s">
        <v>53</v>
      </c>
    </row>
    <row r="32" spans="1:24" x14ac:dyDescent="0.3">
      <c r="A32" t="s">
        <v>47</v>
      </c>
      <c r="B32">
        <v>29</v>
      </c>
      <c r="C32" t="s">
        <v>26</v>
      </c>
      <c r="D32">
        <v>2</v>
      </c>
      <c r="E32">
        <v>3</v>
      </c>
      <c r="F32">
        <v>6</v>
      </c>
      <c r="G32">
        <v>5</v>
      </c>
      <c r="H32">
        <v>1</v>
      </c>
      <c r="I32">
        <v>4</v>
      </c>
      <c r="J32">
        <v>7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 t="s">
        <v>50</v>
      </c>
      <c r="S32" t="s">
        <v>34</v>
      </c>
      <c r="T32" t="s">
        <v>28</v>
      </c>
      <c r="U32" t="s">
        <v>35</v>
      </c>
      <c r="V32" t="s">
        <v>52</v>
      </c>
      <c r="W32" t="s">
        <v>60</v>
      </c>
      <c r="X32" t="s">
        <v>53</v>
      </c>
    </row>
    <row r="33" spans="1:24" x14ac:dyDescent="0.3">
      <c r="A33" t="s">
        <v>25</v>
      </c>
      <c r="B33">
        <v>34</v>
      </c>
      <c r="C33" t="s">
        <v>26</v>
      </c>
      <c r="D33">
        <v>5</v>
      </c>
      <c r="E33">
        <v>4</v>
      </c>
      <c r="F33">
        <v>3</v>
      </c>
      <c r="G33">
        <v>2</v>
      </c>
      <c r="H33">
        <v>7</v>
      </c>
      <c r="I33">
        <v>1</v>
      </c>
      <c r="J33">
        <v>6</v>
      </c>
      <c r="K33" t="s">
        <v>26</v>
      </c>
      <c r="L33" t="s">
        <v>27</v>
      </c>
      <c r="M33" t="s">
        <v>54</v>
      </c>
      <c r="N33" t="s">
        <v>27</v>
      </c>
      <c r="O33" t="s">
        <v>48</v>
      </c>
      <c r="P33" t="s">
        <v>31</v>
      </c>
      <c r="Q33" t="s">
        <v>56</v>
      </c>
      <c r="R33" t="s">
        <v>33</v>
      </c>
      <c r="S33" t="s">
        <v>34</v>
      </c>
      <c r="T33" t="s">
        <v>28</v>
      </c>
      <c r="U33" t="s">
        <v>51</v>
      </c>
      <c r="V33" t="s">
        <v>36</v>
      </c>
      <c r="W33" t="s">
        <v>37</v>
      </c>
      <c r="X33" t="s">
        <v>38</v>
      </c>
    </row>
    <row r="34" spans="1:24" x14ac:dyDescent="0.3">
      <c r="A34" t="s">
        <v>47</v>
      </c>
      <c r="B34">
        <v>27</v>
      </c>
      <c r="C34" t="s">
        <v>26</v>
      </c>
      <c r="D34">
        <v>4</v>
      </c>
      <c r="E34">
        <v>5</v>
      </c>
      <c r="F34">
        <v>1</v>
      </c>
      <c r="G34">
        <v>2</v>
      </c>
      <c r="H34">
        <v>7</v>
      </c>
      <c r="I34">
        <v>3</v>
      </c>
      <c r="J34">
        <v>6</v>
      </c>
      <c r="K34" t="s">
        <v>39</v>
      </c>
      <c r="L34" t="s">
        <v>27</v>
      </c>
      <c r="M34" t="s">
        <v>64</v>
      </c>
      <c r="N34" t="s">
        <v>29</v>
      </c>
      <c r="O34" t="s">
        <v>30</v>
      </c>
      <c r="P34" t="s">
        <v>31</v>
      </c>
      <c r="Q34" t="s">
        <v>56</v>
      </c>
      <c r="R34" t="s">
        <v>33</v>
      </c>
      <c r="S34" t="s">
        <v>67</v>
      </c>
      <c r="T34" t="s">
        <v>28</v>
      </c>
      <c r="U34" t="s">
        <v>51</v>
      </c>
      <c r="V34" t="s">
        <v>36</v>
      </c>
      <c r="W34" t="s">
        <v>37</v>
      </c>
      <c r="X34" t="s">
        <v>53</v>
      </c>
    </row>
    <row r="35" spans="1:24" x14ac:dyDescent="0.3">
      <c r="A35" t="s">
        <v>25</v>
      </c>
      <c r="B35">
        <v>31</v>
      </c>
      <c r="C35" t="s">
        <v>26</v>
      </c>
      <c r="D35">
        <v>2</v>
      </c>
      <c r="E35">
        <v>4</v>
      </c>
      <c r="F35">
        <v>7</v>
      </c>
      <c r="G35">
        <v>6</v>
      </c>
      <c r="H35">
        <v>3</v>
      </c>
      <c r="I35">
        <v>1</v>
      </c>
      <c r="J35">
        <v>5</v>
      </c>
      <c r="K35" t="s">
        <v>26</v>
      </c>
      <c r="L35" t="s">
        <v>27</v>
      </c>
      <c r="M35" t="s">
        <v>28</v>
      </c>
      <c r="N35" t="s">
        <v>29</v>
      </c>
      <c r="O35" t="s">
        <v>48</v>
      </c>
      <c r="P35" t="s">
        <v>31</v>
      </c>
      <c r="Q35" t="s">
        <v>32</v>
      </c>
      <c r="R35" t="s">
        <v>66</v>
      </c>
      <c r="S35" t="s">
        <v>34</v>
      </c>
      <c r="T35" t="s">
        <v>28</v>
      </c>
      <c r="U35" t="s">
        <v>35</v>
      </c>
      <c r="V35" t="s">
        <v>52</v>
      </c>
      <c r="W35" t="s">
        <v>37</v>
      </c>
      <c r="X35" t="s">
        <v>46</v>
      </c>
    </row>
    <row r="36" spans="1:24" x14ac:dyDescent="0.3">
      <c r="A36" t="s">
        <v>47</v>
      </c>
      <c r="B36">
        <v>27</v>
      </c>
      <c r="C36" t="s">
        <v>26</v>
      </c>
      <c r="D36">
        <v>2</v>
      </c>
      <c r="E36">
        <v>4</v>
      </c>
      <c r="F36">
        <v>7</v>
      </c>
      <c r="G36">
        <v>5</v>
      </c>
      <c r="H36">
        <v>1</v>
      </c>
      <c r="I36">
        <v>3</v>
      </c>
      <c r="J36">
        <v>6</v>
      </c>
      <c r="K36" t="s">
        <v>26</v>
      </c>
      <c r="L36" t="s">
        <v>27</v>
      </c>
      <c r="M36" t="s">
        <v>28</v>
      </c>
      <c r="N36" t="s">
        <v>29</v>
      </c>
      <c r="O36" t="s">
        <v>48</v>
      </c>
      <c r="P36" t="s">
        <v>31</v>
      </c>
      <c r="Q36" t="s">
        <v>62</v>
      </c>
      <c r="R36" t="s">
        <v>50</v>
      </c>
      <c r="S36" t="s">
        <v>43</v>
      </c>
      <c r="T36" t="s">
        <v>28</v>
      </c>
      <c r="U36" t="s">
        <v>57</v>
      </c>
      <c r="V36" t="s">
        <v>52</v>
      </c>
      <c r="W36" t="s">
        <v>37</v>
      </c>
      <c r="X36" t="s">
        <v>38</v>
      </c>
    </row>
    <row r="37" spans="1:24" x14ac:dyDescent="0.3">
      <c r="A37" t="s">
        <v>47</v>
      </c>
      <c r="B37">
        <v>26</v>
      </c>
      <c r="C37" t="s">
        <v>26</v>
      </c>
      <c r="D37">
        <v>2</v>
      </c>
      <c r="E37">
        <v>3</v>
      </c>
      <c r="F37">
        <v>6</v>
      </c>
      <c r="G37">
        <v>4</v>
      </c>
      <c r="H37">
        <v>1</v>
      </c>
      <c r="I37">
        <v>5</v>
      </c>
      <c r="J37">
        <v>7</v>
      </c>
      <c r="K37" t="s">
        <v>26</v>
      </c>
      <c r="L37" t="s">
        <v>27</v>
      </c>
      <c r="M37" t="s">
        <v>28</v>
      </c>
      <c r="N37" t="s">
        <v>27</v>
      </c>
      <c r="O37" t="s">
        <v>30</v>
      </c>
      <c r="P37" t="s">
        <v>31</v>
      </c>
      <c r="Q37" t="s">
        <v>32</v>
      </c>
      <c r="R37" t="s">
        <v>66</v>
      </c>
      <c r="S37" t="s">
        <v>67</v>
      </c>
      <c r="T37" t="s">
        <v>44</v>
      </c>
      <c r="U37" t="s">
        <v>35</v>
      </c>
      <c r="V37" t="s">
        <v>36</v>
      </c>
      <c r="W37" t="s">
        <v>60</v>
      </c>
      <c r="X37" t="s">
        <v>38</v>
      </c>
    </row>
    <row r="38" spans="1:24" x14ac:dyDescent="0.3">
      <c r="A38" t="s">
        <v>47</v>
      </c>
      <c r="B38">
        <v>27</v>
      </c>
      <c r="C38" t="s">
        <v>26</v>
      </c>
      <c r="D38">
        <v>2</v>
      </c>
      <c r="E38">
        <v>3</v>
      </c>
      <c r="F38">
        <v>6</v>
      </c>
      <c r="G38">
        <v>5</v>
      </c>
      <c r="H38">
        <v>4</v>
      </c>
      <c r="I38">
        <v>1</v>
      </c>
      <c r="J38">
        <v>7</v>
      </c>
      <c r="K38" t="s">
        <v>26</v>
      </c>
      <c r="L38" t="s">
        <v>27</v>
      </c>
      <c r="M38" t="s">
        <v>28</v>
      </c>
      <c r="N38" t="s">
        <v>29</v>
      </c>
      <c r="O38" t="s">
        <v>30</v>
      </c>
      <c r="P38" t="s">
        <v>42</v>
      </c>
      <c r="Q38" t="s">
        <v>32</v>
      </c>
      <c r="R38" t="s">
        <v>33</v>
      </c>
      <c r="S38" t="s">
        <v>43</v>
      </c>
      <c r="T38" t="s">
        <v>28</v>
      </c>
      <c r="U38" t="s">
        <v>35</v>
      </c>
      <c r="V38" t="s">
        <v>36</v>
      </c>
      <c r="W38" t="s">
        <v>37</v>
      </c>
      <c r="X38" t="s">
        <v>46</v>
      </c>
    </row>
    <row r="39" spans="1:24" x14ac:dyDescent="0.3">
      <c r="A39" t="s">
        <v>47</v>
      </c>
      <c r="B39">
        <v>30</v>
      </c>
      <c r="C39" t="s">
        <v>26</v>
      </c>
      <c r="D39">
        <v>1</v>
      </c>
      <c r="E39">
        <v>4</v>
      </c>
      <c r="F39">
        <v>6</v>
      </c>
      <c r="G39">
        <v>5</v>
      </c>
      <c r="H39">
        <v>3</v>
      </c>
      <c r="I39">
        <v>2</v>
      </c>
      <c r="J39">
        <v>7</v>
      </c>
      <c r="K39" t="s">
        <v>26</v>
      </c>
      <c r="L39" t="s">
        <v>61</v>
      </c>
      <c r="M39" t="s">
        <v>64</v>
      </c>
      <c r="N39" t="s">
        <v>29</v>
      </c>
      <c r="O39" t="s">
        <v>48</v>
      </c>
      <c r="P39" t="s">
        <v>31</v>
      </c>
      <c r="Q39" t="s">
        <v>32</v>
      </c>
      <c r="R39" t="s">
        <v>66</v>
      </c>
      <c r="S39" t="s">
        <v>43</v>
      </c>
      <c r="T39" t="s">
        <v>28</v>
      </c>
      <c r="U39" t="s">
        <v>35</v>
      </c>
      <c r="V39" t="s">
        <v>52</v>
      </c>
      <c r="W39" t="s">
        <v>37</v>
      </c>
      <c r="X39" t="s">
        <v>46</v>
      </c>
    </row>
    <row r="40" spans="1:24" x14ac:dyDescent="0.3">
      <c r="A40" t="s">
        <v>47</v>
      </c>
      <c r="B40">
        <v>30</v>
      </c>
      <c r="C40" t="s">
        <v>26</v>
      </c>
      <c r="D40">
        <v>2</v>
      </c>
      <c r="E40">
        <v>4</v>
      </c>
      <c r="F40">
        <v>7</v>
      </c>
      <c r="G40">
        <v>5</v>
      </c>
      <c r="H40">
        <v>1</v>
      </c>
      <c r="I40">
        <v>3</v>
      </c>
      <c r="J40">
        <v>6</v>
      </c>
      <c r="K40" t="s">
        <v>26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 t="s">
        <v>32</v>
      </c>
      <c r="R40" t="s">
        <v>50</v>
      </c>
      <c r="S40" t="s">
        <v>34</v>
      </c>
      <c r="T40" t="s">
        <v>28</v>
      </c>
      <c r="U40" t="s">
        <v>35</v>
      </c>
      <c r="V40" t="s">
        <v>52</v>
      </c>
      <c r="W40" t="s">
        <v>60</v>
      </c>
      <c r="X40" t="s">
        <v>38</v>
      </c>
    </row>
    <row r="41" spans="1:24" x14ac:dyDescent="0.3">
      <c r="A41" t="s">
        <v>47</v>
      </c>
      <c r="B41">
        <v>25</v>
      </c>
      <c r="C41" t="s">
        <v>26</v>
      </c>
      <c r="D41">
        <v>5</v>
      </c>
      <c r="E41">
        <v>4</v>
      </c>
      <c r="F41">
        <v>7</v>
      </c>
      <c r="G41">
        <v>6</v>
      </c>
      <c r="H41">
        <v>1</v>
      </c>
      <c r="I41">
        <v>2</v>
      </c>
      <c r="J41">
        <v>3</v>
      </c>
      <c r="K41" t="s">
        <v>26</v>
      </c>
      <c r="L41" t="s">
        <v>61</v>
      </c>
      <c r="M41" t="s">
        <v>64</v>
      </c>
      <c r="N41" t="s">
        <v>65</v>
      </c>
      <c r="O41" t="s">
        <v>48</v>
      </c>
      <c r="P41" t="s">
        <v>31</v>
      </c>
      <c r="Q41" t="s">
        <v>62</v>
      </c>
      <c r="R41" t="s">
        <v>68</v>
      </c>
      <c r="S41" t="s">
        <v>43</v>
      </c>
      <c r="T41" t="s">
        <v>28</v>
      </c>
      <c r="U41" t="s">
        <v>35</v>
      </c>
      <c r="V41" t="s">
        <v>36</v>
      </c>
      <c r="W41" t="s">
        <v>37</v>
      </c>
      <c r="X41" t="s">
        <v>46</v>
      </c>
    </row>
    <row r="42" spans="1:24" x14ac:dyDescent="0.3">
      <c r="A42" t="s">
        <v>47</v>
      </c>
      <c r="B42">
        <v>31</v>
      </c>
      <c r="C42" t="s">
        <v>26</v>
      </c>
      <c r="D42">
        <v>2</v>
      </c>
      <c r="E42">
        <v>4</v>
      </c>
      <c r="F42">
        <v>7</v>
      </c>
      <c r="G42">
        <v>5</v>
      </c>
      <c r="H42">
        <v>3</v>
      </c>
      <c r="I42">
        <v>1</v>
      </c>
      <c r="J42">
        <v>6</v>
      </c>
      <c r="K42" t="s">
        <v>26</v>
      </c>
      <c r="L42" t="s">
        <v>61</v>
      </c>
      <c r="M42" t="s">
        <v>64</v>
      </c>
      <c r="N42" t="s">
        <v>29</v>
      </c>
      <c r="O42" t="s">
        <v>30</v>
      </c>
      <c r="P42" t="s">
        <v>42</v>
      </c>
      <c r="Q42" t="s">
        <v>32</v>
      </c>
      <c r="R42" t="s">
        <v>50</v>
      </c>
      <c r="S42" t="s">
        <v>43</v>
      </c>
      <c r="T42" t="s">
        <v>44</v>
      </c>
      <c r="U42" t="s">
        <v>57</v>
      </c>
      <c r="V42" t="s">
        <v>52</v>
      </c>
      <c r="W42" t="s">
        <v>37</v>
      </c>
      <c r="X42" t="s">
        <v>38</v>
      </c>
    </row>
    <row r="43" spans="1:24" x14ac:dyDescent="0.3">
      <c r="A43" t="s">
        <v>47</v>
      </c>
      <c r="B43">
        <v>29</v>
      </c>
      <c r="C43" t="s">
        <v>26</v>
      </c>
      <c r="D43">
        <v>4</v>
      </c>
      <c r="E43">
        <v>3</v>
      </c>
      <c r="F43">
        <v>5</v>
      </c>
      <c r="G43">
        <v>7</v>
      </c>
      <c r="H43">
        <v>2</v>
      </c>
      <c r="I43">
        <v>1</v>
      </c>
      <c r="J43">
        <v>6</v>
      </c>
      <c r="K43" t="s">
        <v>26</v>
      </c>
      <c r="L43" t="s">
        <v>27</v>
      </c>
      <c r="M43" t="s">
        <v>28</v>
      </c>
      <c r="N43" t="s">
        <v>29</v>
      </c>
      <c r="O43" t="s">
        <v>48</v>
      </c>
      <c r="P43" t="s">
        <v>31</v>
      </c>
      <c r="Q43" t="s">
        <v>32</v>
      </c>
      <c r="R43" t="s">
        <v>66</v>
      </c>
      <c r="S43" t="s">
        <v>34</v>
      </c>
      <c r="T43" t="s">
        <v>44</v>
      </c>
      <c r="U43" t="s">
        <v>35</v>
      </c>
      <c r="V43" t="s">
        <v>36</v>
      </c>
      <c r="W43" t="s">
        <v>37</v>
      </c>
      <c r="X43" t="s">
        <v>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workbookViewId="0"/>
  </sheetViews>
  <sheetFormatPr defaultRowHeight="14.4" x14ac:dyDescent="0.3"/>
  <cols>
    <col min="1" max="1" width="28" customWidth="1"/>
    <col min="2" max="2" width="12" customWidth="1"/>
    <col min="4" max="4" width="25" customWidth="1"/>
    <col min="5" max="5" width="15" customWidth="1"/>
  </cols>
  <sheetData>
    <row r="1" spans="1:8" x14ac:dyDescent="0.3">
      <c r="A1" s="2" t="s">
        <v>69</v>
      </c>
      <c r="B1" s="2"/>
      <c r="C1" s="2"/>
      <c r="D1" s="2" t="s">
        <v>70</v>
      </c>
      <c r="E1" s="2" t="s">
        <v>71</v>
      </c>
    </row>
    <row r="2" spans="1:8" x14ac:dyDescent="0.3">
      <c r="A2" t="s">
        <v>72</v>
      </c>
      <c r="B2" t="s">
        <v>73</v>
      </c>
    </row>
    <row r="3" spans="1:8" x14ac:dyDescent="0.3">
      <c r="A3" t="s">
        <v>55</v>
      </c>
      <c r="B3">
        <v>1</v>
      </c>
    </row>
    <row r="4" spans="1:8" x14ac:dyDescent="0.3">
      <c r="A4" t="s">
        <v>30</v>
      </c>
      <c r="B4">
        <v>2</v>
      </c>
    </row>
    <row r="5" spans="1:8" x14ac:dyDescent="0.3">
      <c r="A5" t="s">
        <v>48</v>
      </c>
      <c r="B5">
        <v>3</v>
      </c>
    </row>
    <row r="6" spans="1:8" x14ac:dyDescent="0.3">
      <c r="A6" t="s">
        <v>41</v>
      </c>
      <c r="B6">
        <v>4</v>
      </c>
    </row>
    <row r="7" spans="1:8" x14ac:dyDescent="0.3">
      <c r="A7" s="3" t="s">
        <v>74</v>
      </c>
      <c r="C7" t="s">
        <v>56</v>
      </c>
      <c r="D7">
        <v>15</v>
      </c>
    </row>
    <row r="8" spans="1:8" x14ac:dyDescent="0.3">
      <c r="A8" s="9" t="s">
        <v>75</v>
      </c>
      <c r="B8" s="10"/>
      <c r="C8" s="10"/>
      <c r="D8" s="10"/>
      <c r="E8" s="10"/>
      <c r="F8" s="10"/>
      <c r="G8" s="10"/>
      <c r="H8" s="10"/>
    </row>
    <row r="9" spans="1:8" x14ac:dyDescent="0.3">
      <c r="A9" s="10"/>
      <c r="B9" s="10"/>
      <c r="C9" s="10"/>
      <c r="D9" s="10"/>
      <c r="E9" s="10"/>
      <c r="F9" s="10"/>
      <c r="G9" s="10"/>
      <c r="H9" s="10"/>
    </row>
  </sheetData>
  <mergeCells count="1">
    <mergeCell ref="A8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showGridLines="0" topLeftCell="A51" workbookViewId="0">
      <selection activeCell="Q47" sqref="Q47"/>
    </sheetView>
  </sheetViews>
  <sheetFormatPr defaultRowHeight="14.4" x14ac:dyDescent="0.3"/>
  <sheetData>
    <row r="1" spans="1:14" ht="21" x14ac:dyDescent="0.4">
      <c r="A1" s="1" t="s">
        <v>76</v>
      </c>
    </row>
    <row r="2" spans="1:14" x14ac:dyDescent="0.3">
      <c r="A2" s="8" t="s">
        <v>77</v>
      </c>
      <c r="L2" t="s">
        <v>15</v>
      </c>
      <c r="M2" t="s">
        <v>78</v>
      </c>
      <c r="N2" t="s">
        <v>79</v>
      </c>
    </row>
    <row r="3" spans="1:14" x14ac:dyDescent="0.3">
      <c r="A3" s="2" t="s">
        <v>80</v>
      </c>
      <c r="B3" s="2" t="s">
        <v>81</v>
      </c>
      <c r="C3" s="2" t="s">
        <v>82</v>
      </c>
      <c r="D3" s="2" t="s">
        <v>15</v>
      </c>
      <c r="E3" s="2" t="s">
        <v>17</v>
      </c>
      <c r="G3" s="3" t="s">
        <v>83</v>
      </c>
      <c r="L3">
        <v>1</v>
      </c>
      <c r="M3">
        <v>15</v>
      </c>
      <c r="N3">
        <v>1</v>
      </c>
    </row>
    <row r="4" spans="1:14" x14ac:dyDescent="0.3">
      <c r="A4">
        <v>34</v>
      </c>
      <c r="B4">
        <v>2</v>
      </c>
      <c r="C4">
        <v>25</v>
      </c>
      <c r="D4" t="s">
        <v>30</v>
      </c>
      <c r="E4" t="s">
        <v>32</v>
      </c>
      <c r="H4" t="s">
        <v>80</v>
      </c>
      <c r="I4" t="s">
        <v>81</v>
      </c>
      <c r="J4" t="s">
        <v>84</v>
      </c>
      <c r="L4">
        <v>1</v>
      </c>
      <c r="M4">
        <v>25</v>
      </c>
      <c r="N4">
        <v>1</v>
      </c>
    </row>
    <row r="5" spans="1:14" x14ac:dyDescent="0.3">
      <c r="A5">
        <v>23</v>
      </c>
      <c r="B5">
        <v>4</v>
      </c>
      <c r="C5">
        <v>25</v>
      </c>
      <c r="D5" t="s">
        <v>41</v>
      </c>
      <c r="E5" t="s">
        <v>32</v>
      </c>
      <c r="G5" t="s">
        <v>80</v>
      </c>
      <c r="H5" s="6">
        <v>1</v>
      </c>
      <c r="I5" s="6">
        <v>7.6515469644210729E-2</v>
      </c>
      <c r="J5" s="6">
        <v>-8.9605620240757841E-2</v>
      </c>
      <c r="L5">
        <v>2</v>
      </c>
      <c r="M5">
        <v>15</v>
      </c>
      <c r="N5">
        <v>1</v>
      </c>
    </row>
    <row r="6" spans="1:14" x14ac:dyDescent="0.3">
      <c r="A6">
        <v>30</v>
      </c>
      <c r="B6">
        <v>3</v>
      </c>
      <c r="C6">
        <v>25</v>
      </c>
      <c r="D6" t="s">
        <v>48</v>
      </c>
      <c r="E6" t="s">
        <v>32</v>
      </c>
      <c r="G6" t="s">
        <v>81</v>
      </c>
      <c r="H6" s="6">
        <v>7.6515469644210729E-2</v>
      </c>
      <c r="I6" s="6">
        <v>1</v>
      </c>
      <c r="J6" s="6">
        <v>0.27149751588388171</v>
      </c>
      <c r="L6">
        <v>2</v>
      </c>
      <c r="M6">
        <v>25</v>
      </c>
      <c r="N6">
        <v>16</v>
      </c>
    </row>
    <row r="7" spans="1:14" x14ac:dyDescent="0.3">
      <c r="A7">
        <v>22</v>
      </c>
      <c r="B7">
        <v>1</v>
      </c>
      <c r="C7">
        <v>15</v>
      </c>
      <c r="D7" t="s">
        <v>55</v>
      </c>
      <c r="E7" t="s">
        <v>56</v>
      </c>
      <c r="G7" t="s">
        <v>84</v>
      </c>
      <c r="H7" s="6">
        <v>-8.9605620240757841E-2</v>
      </c>
      <c r="I7" s="6">
        <v>0.27149751588388171</v>
      </c>
      <c r="J7" s="6">
        <v>1</v>
      </c>
      <c r="L7">
        <v>2</v>
      </c>
      <c r="M7">
        <v>35</v>
      </c>
      <c r="N7">
        <v>1</v>
      </c>
    </row>
    <row r="8" spans="1:14" x14ac:dyDescent="0.3">
      <c r="A8">
        <v>24</v>
      </c>
      <c r="B8">
        <v>1</v>
      </c>
      <c r="C8">
        <v>25</v>
      </c>
      <c r="D8" t="s">
        <v>55</v>
      </c>
      <c r="E8" t="s">
        <v>32</v>
      </c>
      <c r="L8">
        <v>3</v>
      </c>
      <c r="M8">
        <v>15</v>
      </c>
      <c r="N8">
        <v>1</v>
      </c>
    </row>
    <row r="9" spans="1:14" x14ac:dyDescent="0.3">
      <c r="A9">
        <v>24</v>
      </c>
      <c r="B9">
        <v>2</v>
      </c>
      <c r="C9">
        <v>35</v>
      </c>
      <c r="D9" t="s">
        <v>30</v>
      </c>
      <c r="E9" t="s">
        <v>62</v>
      </c>
      <c r="L9">
        <v>3</v>
      </c>
      <c r="M9">
        <v>25</v>
      </c>
      <c r="N9">
        <v>14</v>
      </c>
    </row>
    <row r="10" spans="1:14" x14ac:dyDescent="0.3">
      <c r="A10">
        <v>27</v>
      </c>
      <c r="B10">
        <v>3</v>
      </c>
      <c r="C10">
        <v>25</v>
      </c>
      <c r="D10" t="s">
        <v>48</v>
      </c>
      <c r="E10" t="s">
        <v>32</v>
      </c>
      <c r="L10">
        <v>3</v>
      </c>
      <c r="M10">
        <v>35</v>
      </c>
      <c r="N10">
        <v>4</v>
      </c>
    </row>
    <row r="11" spans="1:14" x14ac:dyDescent="0.3">
      <c r="A11">
        <v>21</v>
      </c>
      <c r="B11">
        <v>3</v>
      </c>
      <c r="C11">
        <v>25</v>
      </c>
      <c r="D11" t="s">
        <v>48</v>
      </c>
      <c r="E11" t="s">
        <v>32</v>
      </c>
      <c r="L11">
        <v>4</v>
      </c>
      <c r="M11">
        <v>25</v>
      </c>
      <c r="N11">
        <v>1</v>
      </c>
    </row>
    <row r="12" spans="1:14" x14ac:dyDescent="0.3">
      <c r="A12">
        <v>35</v>
      </c>
      <c r="B12">
        <v>2</v>
      </c>
      <c r="C12">
        <v>25</v>
      </c>
      <c r="D12" t="s">
        <v>30</v>
      </c>
      <c r="E12" t="s">
        <v>32</v>
      </c>
    </row>
    <row r="13" spans="1:14" x14ac:dyDescent="0.3">
      <c r="A13">
        <v>31</v>
      </c>
      <c r="B13">
        <v>3</v>
      </c>
      <c r="C13">
        <v>35</v>
      </c>
      <c r="D13" t="s">
        <v>48</v>
      </c>
      <c r="E13" t="s">
        <v>62</v>
      </c>
    </row>
    <row r="14" spans="1:14" x14ac:dyDescent="0.3">
      <c r="A14">
        <v>35</v>
      </c>
      <c r="B14">
        <v>3</v>
      </c>
      <c r="C14">
        <v>25</v>
      </c>
      <c r="D14" t="s">
        <v>48</v>
      </c>
      <c r="E14" t="s">
        <v>32</v>
      </c>
    </row>
    <row r="15" spans="1:14" x14ac:dyDescent="0.3">
      <c r="A15">
        <v>29</v>
      </c>
      <c r="B15">
        <v>2</v>
      </c>
      <c r="C15">
        <v>25</v>
      </c>
      <c r="D15" t="s">
        <v>30</v>
      </c>
      <c r="E15" t="s">
        <v>32</v>
      </c>
    </row>
    <row r="16" spans="1:14" x14ac:dyDescent="0.3">
      <c r="A16">
        <v>21</v>
      </c>
      <c r="B16">
        <v>2</v>
      </c>
      <c r="C16">
        <v>25</v>
      </c>
      <c r="D16" t="s">
        <v>30</v>
      </c>
      <c r="E16" t="s">
        <v>32</v>
      </c>
    </row>
    <row r="17" spans="1:5" x14ac:dyDescent="0.3">
      <c r="A17">
        <v>28</v>
      </c>
      <c r="B17">
        <v>2</v>
      </c>
      <c r="C17">
        <v>25</v>
      </c>
      <c r="D17" t="s">
        <v>30</v>
      </c>
      <c r="E17" t="s">
        <v>32</v>
      </c>
    </row>
    <row r="18" spans="1:5" x14ac:dyDescent="0.3">
      <c r="A18">
        <v>25</v>
      </c>
      <c r="B18">
        <v>2</v>
      </c>
      <c r="C18">
        <v>25</v>
      </c>
      <c r="D18" t="s">
        <v>30</v>
      </c>
      <c r="E18" t="s">
        <v>32</v>
      </c>
    </row>
    <row r="19" spans="1:5" x14ac:dyDescent="0.3">
      <c r="A19">
        <v>27</v>
      </c>
      <c r="B19">
        <v>2</v>
      </c>
      <c r="C19">
        <v>25</v>
      </c>
      <c r="D19" t="s">
        <v>30</v>
      </c>
      <c r="E19" t="s">
        <v>32</v>
      </c>
    </row>
    <row r="20" spans="1:5" x14ac:dyDescent="0.3">
      <c r="A20">
        <v>28</v>
      </c>
      <c r="B20">
        <v>2</v>
      </c>
      <c r="C20">
        <v>25</v>
      </c>
      <c r="D20" t="s">
        <v>30</v>
      </c>
      <c r="E20" t="s">
        <v>32</v>
      </c>
    </row>
    <row r="21" spans="1:5" x14ac:dyDescent="0.3">
      <c r="A21">
        <v>27</v>
      </c>
      <c r="B21">
        <v>2</v>
      </c>
      <c r="C21">
        <v>25</v>
      </c>
      <c r="D21" t="s">
        <v>30</v>
      </c>
      <c r="E21" t="s">
        <v>32</v>
      </c>
    </row>
    <row r="22" spans="1:5" x14ac:dyDescent="0.3">
      <c r="A22">
        <v>29</v>
      </c>
      <c r="B22">
        <v>2</v>
      </c>
      <c r="C22">
        <v>25</v>
      </c>
      <c r="D22" t="s">
        <v>30</v>
      </c>
      <c r="E22" t="s">
        <v>32</v>
      </c>
    </row>
    <row r="23" spans="1:5" x14ac:dyDescent="0.3">
      <c r="A23">
        <v>26</v>
      </c>
      <c r="B23">
        <v>3</v>
      </c>
      <c r="C23">
        <v>25</v>
      </c>
      <c r="D23" t="s">
        <v>48</v>
      </c>
      <c r="E23" t="s">
        <v>32</v>
      </c>
    </row>
    <row r="24" spans="1:5" x14ac:dyDescent="0.3">
      <c r="A24">
        <v>29</v>
      </c>
      <c r="B24">
        <v>3</v>
      </c>
      <c r="C24">
        <v>25</v>
      </c>
      <c r="D24" t="s">
        <v>48</v>
      </c>
      <c r="E24" t="s">
        <v>32</v>
      </c>
    </row>
    <row r="25" spans="1:5" x14ac:dyDescent="0.3">
      <c r="A25">
        <v>24</v>
      </c>
      <c r="B25">
        <v>3</v>
      </c>
      <c r="C25">
        <v>25</v>
      </c>
      <c r="D25" t="s">
        <v>48</v>
      </c>
      <c r="E25" t="s">
        <v>32</v>
      </c>
    </row>
    <row r="26" spans="1:5" x14ac:dyDescent="0.3">
      <c r="A26">
        <v>27</v>
      </c>
      <c r="B26">
        <v>3</v>
      </c>
      <c r="C26">
        <v>25</v>
      </c>
      <c r="D26" t="s">
        <v>48</v>
      </c>
      <c r="E26" t="s">
        <v>32</v>
      </c>
    </row>
    <row r="27" spans="1:5" x14ac:dyDescent="0.3">
      <c r="A27">
        <v>25</v>
      </c>
      <c r="B27">
        <v>3</v>
      </c>
      <c r="C27">
        <v>25</v>
      </c>
      <c r="D27" t="s">
        <v>48</v>
      </c>
      <c r="E27" t="s">
        <v>32</v>
      </c>
    </row>
    <row r="28" spans="1:5" x14ac:dyDescent="0.3">
      <c r="A28">
        <v>26</v>
      </c>
      <c r="B28">
        <v>3</v>
      </c>
      <c r="C28">
        <v>35</v>
      </c>
      <c r="D28" t="s">
        <v>48</v>
      </c>
      <c r="E28" t="s">
        <v>62</v>
      </c>
    </row>
    <row r="29" spans="1:5" x14ac:dyDescent="0.3">
      <c r="A29">
        <v>32</v>
      </c>
      <c r="B29">
        <v>3</v>
      </c>
      <c r="C29">
        <v>25</v>
      </c>
      <c r="D29" t="s">
        <v>48</v>
      </c>
      <c r="E29" t="s">
        <v>32</v>
      </c>
    </row>
    <row r="30" spans="1:5" x14ac:dyDescent="0.3">
      <c r="A30">
        <v>26</v>
      </c>
      <c r="B30">
        <v>3</v>
      </c>
      <c r="C30">
        <v>25</v>
      </c>
      <c r="D30" t="s">
        <v>48</v>
      </c>
      <c r="E30" t="s">
        <v>32</v>
      </c>
    </row>
    <row r="31" spans="1:5" x14ac:dyDescent="0.3">
      <c r="A31">
        <v>31</v>
      </c>
      <c r="B31">
        <v>2</v>
      </c>
      <c r="C31">
        <v>25</v>
      </c>
      <c r="D31" t="s">
        <v>30</v>
      </c>
      <c r="E31" t="s">
        <v>32</v>
      </c>
    </row>
    <row r="32" spans="1:5" x14ac:dyDescent="0.3">
      <c r="A32">
        <v>29</v>
      </c>
      <c r="B32">
        <v>2</v>
      </c>
      <c r="C32">
        <v>25</v>
      </c>
      <c r="D32" t="s">
        <v>30</v>
      </c>
      <c r="E32" t="s">
        <v>32</v>
      </c>
    </row>
    <row r="33" spans="1:5" x14ac:dyDescent="0.3">
      <c r="A33">
        <v>34</v>
      </c>
      <c r="B33">
        <v>3</v>
      </c>
      <c r="C33">
        <v>15</v>
      </c>
      <c r="D33" t="s">
        <v>48</v>
      </c>
      <c r="E33" t="s">
        <v>56</v>
      </c>
    </row>
    <row r="34" spans="1:5" x14ac:dyDescent="0.3">
      <c r="A34">
        <v>27</v>
      </c>
      <c r="B34">
        <v>2</v>
      </c>
      <c r="C34">
        <v>15</v>
      </c>
      <c r="D34" t="s">
        <v>30</v>
      </c>
      <c r="E34" t="s">
        <v>56</v>
      </c>
    </row>
    <row r="35" spans="1:5" x14ac:dyDescent="0.3">
      <c r="A35">
        <v>31</v>
      </c>
      <c r="B35">
        <v>3</v>
      </c>
      <c r="C35">
        <v>25</v>
      </c>
      <c r="D35" t="s">
        <v>48</v>
      </c>
      <c r="E35" t="s">
        <v>32</v>
      </c>
    </row>
    <row r="36" spans="1:5" x14ac:dyDescent="0.3">
      <c r="A36">
        <v>27</v>
      </c>
      <c r="B36">
        <v>3</v>
      </c>
      <c r="C36">
        <v>35</v>
      </c>
      <c r="D36" t="s">
        <v>48</v>
      </c>
      <c r="E36" t="s">
        <v>62</v>
      </c>
    </row>
    <row r="37" spans="1:5" x14ac:dyDescent="0.3">
      <c r="A37">
        <v>26</v>
      </c>
      <c r="B37">
        <v>2</v>
      </c>
      <c r="C37">
        <v>25</v>
      </c>
      <c r="D37" t="s">
        <v>30</v>
      </c>
      <c r="E37" t="s">
        <v>32</v>
      </c>
    </row>
    <row r="38" spans="1:5" x14ac:dyDescent="0.3">
      <c r="A38">
        <v>27</v>
      </c>
      <c r="B38">
        <v>2</v>
      </c>
      <c r="C38">
        <v>25</v>
      </c>
      <c r="D38" t="s">
        <v>30</v>
      </c>
      <c r="E38" t="s">
        <v>32</v>
      </c>
    </row>
    <row r="39" spans="1:5" x14ac:dyDescent="0.3">
      <c r="A39">
        <v>30</v>
      </c>
      <c r="B39">
        <v>3</v>
      </c>
      <c r="C39">
        <v>25</v>
      </c>
      <c r="D39" t="s">
        <v>48</v>
      </c>
      <c r="E39" t="s">
        <v>32</v>
      </c>
    </row>
    <row r="40" spans="1:5" x14ac:dyDescent="0.3">
      <c r="A40">
        <v>30</v>
      </c>
      <c r="B40">
        <v>2</v>
      </c>
      <c r="C40">
        <v>25</v>
      </c>
      <c r="D40" t="s">
        <v>30</v>
      </c>
      <c r="E40" t="s">
        <v>32</v>
      </c>
    </row>
    <row r="41" spans="1:5" x14ac:dyDescent="0.3">
      <c r="A41">
        <v>25</v>
      </c>
      <c r="B41">
        <v>3</v>
      </c>
      <c r="C41">
        <v>35</v>
      </c>
      <c r="D41" t="s">
        <v>48</v>
      </c>
      <c r="E41" t="s">
        <v>62</v>
      </c>
    </row>
    <row r="42" spans="1:5" x14ac:dyDescent="0.3">
      <c r="A42">
        <v>31</v>
      </c>
      <c r="B42">
        <v>2</v>
      </c>
      <c r="C42">
        <v>25</v>
      </c>
      <c r="D42" t="s">
        <v>30</v>
      </c>
      <c r="E42" t="s">
        <v>32</v>
      </c>
    </row>
    <row r="43" spans="1:5" x14ac:dyDescent="0.3">
      <c r="A43">
        <v>29</v>
      </c>
      <c r="B43">
        <v>3</v>
      </c>
      <c r="C43">
        <v>25</v>
      </c>
      <c r="D43" t="s">
        <v>48</v>
      </c>
      <c r="E43" t="s">
        <v>32</v>
      </c>
    </row>
    <row r="46" spans="1:5" x14ac:dyDescent="0.3">
      <c r="A46" s="3" t="s">
        <v>85</v>
      </c>
    </row>
    <row r="47" spans="1:5" x14ac:dyDescent="0.3">
      <c r="A47" s="2" t="s">
        <v>15</v>
      </c>
      <c r="B47" s="2" t="s">
        <v>81</v>
      </c>
      <c r="C47" s="2" t="s">
        <v>86</v>
      </c>
      <c r="D47" s="2" t="s">
        <v>87</v>
      </c>
      <c r="E47" s="2" t="s">
        <v>88</v>
      </c>
    </row>
    <row r="48" spans="1:5" x14ac:dyDescent="0.3">
      <c r="A48" t="s">
        <v>30</v>
      </c>
      <c r="B48">
        <v>2</v>
      </c>
      <c r="C48" t="s">
        <v>56</v>
      </c>
      <c r="D48">
        <v>15</v>
      </c>
      <c r="E48">
        <v>1</v>
      </c>
    </row>
    <row r="49" spans="1:5" x14ac:dyDescent="0.3">
      <c r="A49" t="s">
        <v>30</v>
      </c>
      <c r="B49">
        <v>2</v>
      </c>
      <c r="C49" t="s">
        <v>32</v>
      </c>
      <c r="D49">
        <v>25</v>
      </c>
      <c r="E49">
        <v>16</v>
      </c>
    </row>
    <row r="50" spans="1:5" x14ac:dyDescent="0.3">
      <c r="A50" t="s">
        <v>30</v>
      </c>
      <c r="B50">
        <v>2</v>
      </c>
      <c r="C50" t="s">
        <v>62</v>
      </c>
      <c r="D50">
        <v>35</v>
      </c>
      <c r="E50">
        <v>1</v>
      </c>
    </row>
    <row r="51" spans="1:5" x14ac:dyDescent="0.3">
      <c r="A51" t="s">
        <v>48</v>
      </c>
      <c r="B51">
        <v>3</v>
      </c>
      <c r="C51" t="s">
        <v>56</v>
      </c>
      <c r="D51">
        <v>15</v>
      </c>
      <c r="E51">
        <v>1</v>
      </c>
    </row>
    <row r="52" spans="1:5" x14ac:dyDescent="0.3">
      <c r="A52" t="s">
        <v>48</v>
      </c>
      <c r="B52">
        <v>3</v>
      </c>
      <c r="C52" t="s">
        <v>32</v>
      </c>
      <c r="D52">
        <v>25</v>
      </c>
      <c r="E52">
        <v>14</v>
      </c>
    </row>
    <row r="53" spans="1:5" x14ac:dyDescent="0.3">
      <c r="A53" t="s">
        <v>48</v>
      </c>
      <c r="B53">
        <v>3</v>
      </c>
      <c r="C53" t="s">
        <v>62</v>
      </c>
      <c r="D53">
        <v>35</v>
      </c>
      <c r="E53">
        <v>4</v>
      </c>
    </row>
    <row r="54" spans="1:5" x14ac:dyDescent="0.3">
      <c r="A54" t="s">
        <v>55</v>
      </c>
      <c r="B54">
        <v>1</v>
      </c>
      <c r="C54" t="s">
        <v>56</v>
      </c>
      <c r="D54">
        <v>15</v>
      </c>
      <c r="E54">
        <v>1</v>
      </c>
    </row>
    <row r="55" spans="1:5" x14ac:dyDescent="0.3">
      <c r="A55" t="s">
        <v>55</v>
      </c>
      <c r="B55">
        <v>1</v>
      </c>
      <c r="C55" t="s">
        <v>32</v>
      </c>
      <c r="D55">
        <v>25</v>
      </c>
      <c r="E55">
        <v>1</v>
      </c>
    </row>
    <row r="56" spans="1:5" x14ac:dyDescent="0.3">
      <c r="A56" t="s">
        <v>41</v>
      </c>
      <c r="B56">
        <v>4</v>
      </c>
      <c r="C56" t="s">
        <v>32</v>
      </c>
      <c r="D56">
        <v>25</v>
      </c>
      <c r="E56">
        <v>1</v>
      </c>
    </row>
    <row r="62" spans="1:5" x14ac:dyDescent="0.3">
      <c r="A62" s="3"/>
      <c r="B62" s="3"/>
    </row>
    <row r="63" spans="1:5" x14ac:dyDescent="0.3">
      <c r="A63" s="3"/>
      <c r="B63" s="3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8"/>
  <sheetViews>
    <sheetView showGridLines="0" tabSelected="1" topLeftCell="A36" zoomScale="92" workbookViewId="0">
      <selection activeCell="A56" sqref="A56:K57"/>
    </sheetView>
  </sheetViews>
  <sheetFormatPr defaultRowHeight="14.4" x14ac:dyDescent="0.3"/>
  <cols>
    <col min="1" max="11" width="18" customWidth="1"/>
  </cols>
  <sheetData>
    <row r="1" spans="1:12" ht="25.8" x14ac:dyDescent="0.5">
      <c r="A1" s="12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x14ac:dyDescent="0.3">
      <c r="A3" s="7" t="s">
        <v>90</v>
      </c>
      <c r="B3" t="s">
        <v>91</v>
      </c>
      <c r="D3" s="7" t="s">
        <v>92</v>
      </c>
      <c r="E3" t="s">
        <v>91</v>
      </c>
    </row>
    <row r="5" spans="1:12" x14ac:dyDescent="0.3">
      <c r="A5" s="13" t="s">
        <v>93</v>
      </c>
      <c r="B5" s="10"/>
      <c r="C5" s="13" t="s">
        <v>94</v>
      </c>
      <c r="D5" s="10"/>
      <c r="E5" s="13" t="s">
        <v>95</v>
      </c>
      <c r="F5" s="10"/>
      <c r="G5" s="13" t="s">
        <v>96</v>
      </c>
      <c r="H5" s="10"/>
      <c r="I5" s="13" t="s">
        <v>97</v>
      </c>
      <c r="J5" s="10"/>
    </row>
    <row r="6" spans="1:12" ht="19.8" x14ac:dyDescent="0.4">
      <c r="A6" s="11">
        <v>40</v>
      </c>
      <c r="B6" s="10"/>
      <c r="C6" s="11">
        <v>27.8</v>
      </c>
      <c r="D6" s="10"/>
      <c r="E6" s="11" t="s">
        <v>33</v>
      </c>
      <c r="F6" s="10"/>
      <c r="G6" s="11" t="s">
        <v>34</v>
      </c>
      <c r="H6" s="10"/>
      <c r="I6" s="11" t="s">
        <v>46</v>
      </c>
      <c r="J6" s="10"/>
    </row>
    <row r="9" spans="1:12" x14ac:dyDescent="0.3">
      <c r="A9" s="2" t="s">
        <v>98</v>
      </c>
      <c r="B9" s="2" t="s">
        <v>88</v>
      </c>
      <c r="D9" s="2" t="s">
        <v>99</v>
      </c>
      <c r="E9" s="2" t="s">
        <v>88</v>
      </c>
      <c r="G9" s="2" t="s">
        <v>100</v>
      </c>
      <c r="H9" s="2" t="s">
        <v>88</v>
      </c>
      <c r="J9" s="2" t="s">
        <v>15</v>
      </c>
      <c r="K9" s="2" t="s">
        <v>88</v>
      </c>
    </row>
    <row r="10" spans="1:12" x14ac:dyDescent="0.3">
      <c r="A10" t="s">
        <v>25</v>
      </c>
      <c r="B10">
        <f>IF(AND($B$3="All",$E$3="All"),COUNTIF(Raw_Data!$A$4:$A$43,A10),IF(AND($B$3&lt;&gt;"All",$E$3&lt;&gt;"All"),COUNTIFS(Raw_Data!$A$4:$A$43,A10,Raw_Data!$A$4:$A$43,$B$3,Raw_Data!$O$4:$O$43,$E$3),IF($B$3&lt;&gt;"All",COUNTIFS(Raw_Data!$A$4:$A$43,A10,Raw_Data!$A$4:$A$43,$B$3),COUNTIFS(Raw_Data!$A$4:$A$43,A10,Raw_Data!$O$4:$O$43,$E$3))))</f>
        <v>15</v>
      </c>
      <c r="D10" t="s">
        <v>33</v>
      </c>
      <c r="E10">
        <f>IF(AND($B$3="All",$E$3="All"),COUNTIF(Raw_Data!$R$4:$R$43,D10),IF(AND($B$3&lt;&gt;"All",$E$3&lt;&gt;"All"),COUNTIFS(Raw_Data!$R$4:$R$43,D10,Raw_Data!$A$4:$A$43,$B$3,Raw_Data!$O$4:$O$43,$E$3),IF($B$3&lt;&gt;"All",COUNTIFS(Raw_Data!$R$4:$R$43,D10,Raw_Data!$A$4:$A$43,$B$3),COUNTIFS(Raw_Data!$R$4:$R$43,D10,Raw_Data!$O$4:$O$43,$E$3))))</f>
        <v>18</v>
      </c>
      <c r="G10" t="s">
        <v>46</v>
      </c>
      <c r="H10">
        <f>IF(AND($B$3="All",$E$3="All"),COUNTIF(Raw_Data!$X$4:$X$43,G10),IF(AND($B$3&lt;&gt;"All",$E$3&lt;&gt;"All"),COUNTIFS(Raw_Data!$X$4:$X$43,G10,Raw_Data!$A$4:$A$43,$B$3,Raw_Data!$O$4:$O$43,$E$3),IF($B$3&lt;&gt;"All",COUNTIFS(Raw_Data!$X$4:$X$43,G10,Raw_Data!$A$4:$A$43,$B$3),COUNTIFS(Raw_Data!$X$4:$X$43,G10,Raw_Data!$O$4:$O$43,$E$3))))</f>
        <v>16</v>
      </c>
      <c r="J10" t="s">
        <v>55</v>
      </c>
      <c r="K10">
        <f>IF(AND($B$3="All",$E$3="All"),COUNTIF(Raw_Data!$O$4:$O$43,J10),IF(AND($B$3&lt;&gt;"All",$E$3&lt;&gt;"All"),COUNTIFS(Raw_Data!$O$4:$O$43,J10,Raw_Data!$A$4:$A$43,$B$3,Raw_Data!$O$4:$O$43,$E$3),IF($B$3&lt;&gt;"All",COUNTIFS(Raw_Data!$O$4:$O$43,J10,Raw_Data!$A$4:$A$43,$B$3),COUNTIFS(Raw_Data!$O$4:$O$43,J10,Raw_Data!$O$4:$O$43,$E$3))))</f>
        <v>2</v>
      </c>
    </row>
    <row r="11" spans="1:12" x14ac:dyDescent="0.3">
      <c r="A11" t="s">
        <v>47</v>
      </c>
      <c r="B11">
        <f>IF(AND($B$3="All",$E$3="All"),COUNTIF(Raw_Data!$A$4:$A$43,A11),IF(AND($B$3&lt;&gt;"All",$E$3&lt;&gt;"All"),COUNTIFS(Raw_Data!$A$4:$A$43,A11,Raw_Data!$A$4:$A$43,$B$3,Raw_Data!$O$4:$O$43,$E$3),IF($B$3&lt;&gt;"All",COUNTIFS(Raw_Data!$A$4:$A$43,A11,Raw_Data!$A$4:$A$43,$B$3),COUNTIFS(Raw_Data!$A$4:$A$43,A11,Raw_Data!$O$4:$O$43,$E$3))))</f>
        <v>25</v>
      </c>
      <c r="D11" t="s">
        <v>50</v>
      </c>
      <c r="E11">
        <f>IF(AND($B$3="All",$E$3="All"),COUNTIF(Raw_Data!$R$4:$R$43,D11),IF(AND($B$3&lt;&gt;"All",$E$3&lt;&gt;"All"),COUNTIFS(Raw_Data!$R$4:$R$43,D11,Raw_Data!$A$4:$A$43,$B$3,Raw_Data!$O$4:$O$43,$E$3),IF($B$3&lt;&gt;"All",COUNTIFS(Raw_Data!$R$4:$R$43,D11,Raw_Data!$A$4:$A$43,$B$3),COUNTIFS(Raw_Data!$R$4:$R$43,D11,Raw_Data!$O$4:$O$43,$E$3))))</f>
        <v>10</v>
      </c>
      <c r="G11" t="s">
        <v>38</v>
      </c>
      <c r="H11">
        <f>IF(AND($B$3="All",$E$3="All"),COUNTIF(Raw_Data!$X$4:$X$43,G11),IF(AND($B$3&lt;&gt;"All",$E$3&lt;&gt;"All"),COUNTIFS(Raw_Data!$X$4:$X$43,G11,Raw_Data!$A$4:$A$43,$B$3,Raw_Data!$O$4:$O$43,$E$3),IF($B$3&lt;&gt;"All",COUNTIFS(Raw_Data!$X$4:$X$43,G11,Raw_Data!$A$4:$A$43,$B$3),COUNTIFS(Raw_Data!$X$4:$X$43,G11,Raw_Data!$O$4:$O$43,$E$3))))</f>
        <v>14</v>
      </c>
      <c r="J11" t="s">
        <v>30</v>
      </c>
      <c r="K11">
        <f>IF(AND($B$3="All",$E$3="All"),COUNTIF(Raw_Data!$O$4:$O$43,J11),IF(AND($B$3&lt;&gt;"All",$E$3&lt;&gt;"All"),COUNTIFS(Raw_Data!$O$4:$O$43,J11,Raw_Data!$A$4:$A$43,$B$3,Raw_Data!$O$4:$O$43,$E$3),IF($B$3&lt;&gt;"All",COUNTIFS(Raw_Data!$O$4:$O$43,J11,Raw_Data!$A$4:$A$43,$B$3),COUNTIFS(Raw_Data!$O$4:$O$43,J11,Raw_Data!$O$4:$O$43,$E$3))))</f>
        <v>18</v>
      </c>
    </row>
    <row r="12" spans="1:12" x14ac:dyDescent="0.3">
      <c r="D12" t="s">
        <v>66</v>
      </c>
      <c r="E12">
        <f>IF(AND($B$3="All",$E$3="All"),COUNTIF(Raw_Data!$R$4:$R$43,D12),IF(AND($B$3&lt;&gt;"All",$E$3&lt;&gt;"All"),COUNTIFS(Raw_Data!$R$4:$R$43,D12,Raw_Data!$A$4:$A$43,$B$3,Raw_Data!$O$4:$O$43,$E$3),IF($B$3&lt;&gt;"All",COUNTIFS(Raw_Data!$R$4:$R$43,D12,Raw_Data!$A$4:$A$43,$B$3),COUNTIFS(Raw_Data!$R$4:$R$43,D12,Raw_Data!$O$4:$O$43,$E$3))))</f>
        <v>9</v>
      </c>
      <c r="G12" t="s">
        <v>53</v>
      </c>
      <c r="H12">
        <f>IF(AND($B$3="All",$E$3="All"),COUNTIF(Raw_Data!$X$4:$X$43,G12),IF(AND($B$3&lt;&gt;"All",$E$3&lt;&gt;"All"),COUNTIFS(Raw_Data!$X$4:$X$43,G12,Raw_Data!$A$4:$A$43,$B$3,Raw_Data!$O$4:$O$43,$E$3),IF($B$3&lt;&gt;"All",COUNTIFS(Raw_Data!$X$4:$X$43,G12,Raw_Data!$A$4:$A$43,$B$3),COUNTIFS(Raw_Data!$X$4:$X$43,G12,Raw_Data!$O$4:$O$43,$E$3))))</f>
        <v>6</v>
      </c>
      <c r="J12" t="s">
        <v>48</v>
      </c>
      <c r="K12">
        <f>IF(AND($B$3="All",$E$3="All"),COUNTIF(Raw_Data!$O$4:$O$43,J12),IF(AND($B$3&lt;&gt;"All",$E$3&lt;&gt;"All"),COUNTIFS(Raw_Data!$O$4:$O$43,J12,Raw_Data!$A$4:$A$43,$B$3,Raw_Data!$O$4:$O$43,$E$3),IF($B$3&lt;&gt;"All",COUNTIFS(Raw_Data!$O$4:$O$43,J12,Raw_Data!$A$4:$A$43,$B$3),COUNTIFS(Raw_Data!$O$4:$O$43,J12,Raw_Data!$O$4:$O$43,$E$3))))</f>
        <v>19</v>
      </c>
    </row>
    <row r="13" spans="1:12" x14ac:dyDescent="0.3">
      <c r="D13" t="s">
        <v>68</v>
      </c>
      <c r="E13">
        <f>IF(AND($B$3="All",$E$3="All"),COUNTIF(Raw_Data!$R$4:$R$43,D13),IF(AND($B$3&lt;&gt;"All",$E$3&lt;&gt;"All"),COUNTIFS(Raw_Data!$R$4:$R$43,D13,Raw_Data!$A$4:$A$43,$B$3,Raw_Data!$O$4:$O$43,$E$3),IF($B$3&lt;&gt;"All",COUNTIFS(Raw_Data!$R$4:$R$43,D13,Raw_Data!$A$4:$A$43,$B$3),COUNTIFS(Raw_Data!$R$4:$R$43,D13,Raw_Data!$O$4:$O$43,$E$3))))</f>
        <v>3</v>
      </c>
      <c r="G13" t="s">
        <v>59</v>
      </c>
      <c r="H13">
        <f>IF(AND($B$3="All",$E$3="All"),COUNTIF(Raw_Data!$X$4:$X$43,G13),IF(AND($B$3&lt;&gt;"All",$E$3&lt;&gt;"All"),COUNTIFS(Raw_Data!$X$4:$X$43,G13,Raw_Data!$A$4:$A$43,$B$3,Raw_Data!$O$4:$O$43,$E$3),IF($B$3&lt;&gt;"All",COUNTIFS(Raw_Data!$X$4:$X$43,G13,Raw_Data!$A$4:$A$43,$B$3),COUNTIFS(Raw_Data!$X$4:$X$43,G13,Raw_Data!$O$4:$O$43,$E$3))))</f>
        <v>4</v>
      </c>
      <c r="J13" t="s">
        <v>41</v>
      </c>
      <c r="K13">
        <f>IF(AND($B$3="All",$E$3="All"),COUNTIF(Raw_Data!$O$4:$O$43,J13),IF(AND($B$3&lt;&gt;"All",$E$3&lt;&gt;"All"),COUNTIFS(Raw_Data!$O$4:$O$43,J13,Raw_Data!$A$4:$A$43,$B$3,Raw_Data!$O$4:$O$43,$E$3),IF($B$3&lt;&gt;"All",COUNTIFS(Raw_Data!$O$4:$O$43,J13,Raw_Data!$A$4:$A$43,$B$3),COUNTIFS(Raw_Data!$O$4:$O$43,J13,Raw_Data!$O$4:$O$43,$E$3))))</f>
        <v>1</v>
      </c>
    </row>
    <row r="16" spans="1:12" x14ac:dyDescent="0.3">
      <c r="A16" t="s">
        <v>101</v>
      </c>
      <c r="B16" t="s">
        <v>88</v>
      </c>
      <c r="D16" t="s">
        <v>86</v>
      </c>
      <c r="E16" t="s">
        <v>88</v>
      </c>
    </row>
    <row r="17" spans="1:5" x14ac:dyDescent="0.3">
      <c r="A17" t="s">
        <v>28</v>
      </c>
      <c r="B17">
        <f>IF(AND($B$3="All",$E$3="All"),COUNTIF(Raw_Data!$M$4:$M$43,A17),IF($B$3="All",COUNTIFS(Raw_Data!$M$4:$M$43,A17,Raw_Data!$O$4:$O$43,$E$3),IF($E$3="All",COUNTIFS(Raw_Data!$M$4:$M$43,A17,Raw_Data!$A$4:$A$43,$B$3),COUNTIFS(Raw_Data!$M$4:$M$43,A17,Raw_Data!$A$4:$A$43,$B$3,Raw_Data!$O$4:$O$43,$E$3))))</f>
        <v>26</v>
      </c>
      <c r="D17" t="s">
        <v>32</v>
      </c>
      <c r="E17">
        <f>IF(AND($B$3="All",$E$3="All"),COUNTIF(Raw_Data!$Q$4:$Q$43,D17),IF($B$3="All",COUNTIFS(Raw_Data!$Q$4:$Q$43,D17,Raw_Data!$O$4:$O$43,$E$3),IF($E$3="All",COUNTIFS(Raw_Data!$Q$4:$Q$43,D17,Raw_Data!$A$4:$A$43,$B$3),COUNTIFS(Raw_Data!$Q$4:$Q$43,D17,Raw_Data!$A$4:$A$43,$B$3,Raw_Data!$O$4:$O$43,$E$3))))</f>
        <v>32</v>
      </c>
    </row>
    <row r="18" spans="1:5" x14ac:dyDescent="0.3">
      <c r="A18" t="s">
        <v>54</v>
      </c>
      <c r="B18">
        <f>IF(AND($B$3="All",$E$3="All"),COUNTIF(Raw_Data!$M$4:$M$43,A18),IF($B$3="All",COUNTIFS(Raw_Data!$M$4:$M$43,A18,Raw_Data!$O$4:$O$43,$E$3),IF($E$3="All",COUNTIFS(Raw_Data!$M$4:$M$43,A18,Raw_Data!$A$4:$A$43,$B$3),COUNTIFS(Raw_Data!$M$4:$M$43,A18,Raw_Data!$A$4:$A$43,$B$3,Raw_Data!$O$4:$O$43,$E$3))))</f>
        <v>3</v>
      </c>
      <c r="D18" t="s">
        <v>56</v>
      </c>
      <c r="E18">
        <f>IF(AND($B$3="All",$E$3="All"),COUNTIF(Raw_Data!$Q$4:$Q$43,D18),IF($B$3="All",COUNTIFS(Raw_Data!$Q$4:$Q$43,D18,Raw_Data!$O$4:$O$43,$E$3),IF($E$3="All",COUNTIFS(Raw_Data!$Q$4:$Q$43,D18,Raw_Data!$A$4:$A$43,$B$3),COUNTIFS(Raw_Data!$Q$4:$Q$43,D18,Raw_Data!$A$4:$A$43,$B$3,Raw_Data!$O$4:$O$43,$E$3))))</f>
        <v>3</v>
      </c>
    </row>
    <row r="19" spans="1:5" x14ac:dyDescent="0.3">
      <c r="A19" t="s">
        <v>64</v>
      </c>
      <c r="B19">
        <f>IF(AND($B$3="All",$E$3="All"),COUNTIF(Raw_Data!$M$4:$M$43,A19),IF($B$3="All",COUNTIFS(Raw_Data!$M$4:$M$43,A19,Raw_Data!$O$4:$O$43,$E$3),IF($E$3="All",COUNTIFS(Raw_Data!$M$4:$M$43,A19,Raw_Data!$A$4:$A$43,$B$3),COUNTIFS(Raw_Data!$M$4:$M$43,A19,Raw_Data!$A$4:$A$43,$B$3,Raw_Data!$O$4:$O$43,$E$3))))</f>
        <v>11</v>
      </c>
      <c r="D19" t="s">
        <v>62</v>
      </c>
      <c r="E19">
        <f>IF(AND($B$3="All",$E$3="All"),COUNTIF(Raw_Data!$Q$4:$Q$43,D19),IF($B$3="All",COUNTIFS(Raw_Data!$Q$4:$Q$43,D19,Raw_Data!$O$4:$O$43,$E$3),IF($E$3="All",COUNTIFS(Raw_Data!$Q$4:$Q$43,D19,Raw_Data!$A$4:$A$43,$B$3),COUNTIFS(Raw_Data!$Q$4:$Q$43,D19,Raw_Data!$A$4:$A$43,$B$3,Raw_Data!$O$4:$O$43,$E$3))))</f>
        <v>5</v>
      </c>
    </row>
    <row r="48" spans="1:11" x14ac:dyDescent="0.3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1" spans="1:11" x14ac:dyDescent="0.3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6" spans="1:11" x14ac:dyDescent="0.3">
      <c r="A56" s="9" t="s">
        <v>102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67" spans="1:11" x14ac:dyDescent="0.3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</sheetData>
  <mergeCells count="15">
    <mergeCell ref="A1:L1"/>
    <mergeCell ref="C5:D5"/>
    <mergeCell ref="A5:B5"/>
    <mergeCell ref="G5:H5"/>
    <mergeCell ref="E5:F5"/>
    <mergeCell ref="I5:J5"/>
    <mergeCell ref="A67:K68"/>
    <mergeCell ref="E6:F6"/>
    <mergeCell ref="C6:D6"/>
    <mergeCell ref="I6:J6"/>
    <mergeCell ref="A51:K53"/>
    <mergeCell ref="G6:H6"/>
    <mergeCell ref="A48:K49"/>
    <mergeCell ref="A6:B6"/>
    <mergeCell ref="A56:K57"/>
  </mergeCells>
  <dataValidations count="2">
    <dataValidation type="list" sqref="B3" xr:uid="{00000000-0002-0000-0300-000000000000}">
      <formula1>"All,Female,Male"</formula1>
    </dataValidation>
    <dataValidation type="list" sqref="E3" xr:uid="{00000000-0002-0000-0300-000001000000}">
      <formula1>"All,Less than 1 year,1-3 years,3-5 years,More than 5 years"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Mappings</vt:lpstr>
      <vt:lpstr>Task 5 - Correlation</vt:lpstr>
      <vt:lpstr>Task 6 -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shagun Tripathi</cp:lastModifiedBy>
  <dcterms:created xsi:type="dcterms:W3CDTF">2026-10-06T09:02:51Z</dcterms:created>
  <dcterms:modified xsi:type="dcterms:W3CDTF">2026-10-06T18:26:30Z</dcterms:modified>
</cp:coreProperties>
</file>